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52CD3E3C-032D-4F7C-B97C-C9FEBA8CAE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8" i="1" l="1"/>
  <c r="R90" i="1" l="1"/>
  <c r="R89" i="1"/>
  <c r="AH89" i="1" s="1"/>
  <c r="R79" i="1"/>
  <c r="R58" i="1"/>
  <c r="R44" i="1"/>
  <c r="AH44" i="1" s="1"/>
  <c r="R43" i="1"/>
  <c r="R38" i="1"/>
  <c r="R11" i="1"/>
  <c r="R14" i="1"/>
  <c r="R15" i="1"/>
  <c r="R25" i="1"/>
  <c r="R26" i="1"/>
  <c r="R28" i="1"/>
  <c r="AH28" i="1" s="1"/>
  <c r="R29" i="1"/>
  <c r="R36" i="1"/>
  <c r="AH36" i="1" s="1"/>
  <c r="R39" i="1"/>
  <c r="R42" i="1"/>
  <c r="R45" i="1"/>
  <c r="R48" i="1"/>
  <c r="AH48" i="1" s="1"/>
  <c r="R52" i="1"/>
  <c r="AH52" i="1" s="1"/>
  <c r="R54" i="1"/>
  <c r="R55" i="1"/>
  <c r="R62" i="1"/>
  <c r="R63" i="1"/>
  <c r="R64" i="1"/>
  <c r="AH64" i="1" s="1"/>
  <c r="R65" i="1"/>
  <c r="R66" i="1"/>
  <c r="R67" i="1"/>
  <c r="R68" i="1"/>
  <c r="AH68" i="1" s="1"/>
  <c r="R70" i="1"/>
  <c r="R71" i="1"/>
  <c r="R72" i="1"/>
  <c r="AH72" i="1" s="1"/>
  <c r="R74" i="1"/>
  <c r="R75" i="1"/>
  <c r="R81" i="1"/>
  <c r="R82" i="1"/>
  <c r="R83" i="1"/>
  <c r="R84" i="1"/>
  <c r="AH84" i="1" s="1"/>
  <c r="R85" i="1"/>
  <c r="AH88" i="1"/>
  <c r="R91" i="1"/>
  <c r="AH91" i="1" s="1"/>
  <c r="R92" i="1"/>
  <c r="AH92" i="1" s="1"/>
  <c r="R93" i="1"/>
  <c r="AH93" i="1" s="1"/>
  <c r="R94" i="1"/>
  <c r="R95" i="1"/>
  <c r="AH95" i="1" s="1"/>
  <c r="R6" i="1"/>
  <c r="AH6" i="1" s="1"/>
  <c r="AH94" i="1" l="1"/>
  <c r="AH90" i="1"/>
  <c r="AH82" i="1"/>
  <c r="AH74" i="1"/>
  <c r="AH70" i="1"/>
  <c r="AH66" i="1"/>
  <c r="AH62" i="1"/>
  <c r="AH58" i="1"/>
  <c r="AH54" i="1"/>
  <c r="AH42" i="1"/>
  <c r="AH26" i="1"/>
  <c r="AH14" i="1"/>
  <c r="AH85" i="1"/>
  <c r="AH83" i="1"/>
  <c r="AH81" i="1"/>
  <c r="AH75" i="1"/>
  <c r="AH71" i="1"/>
  <c r="AH67" i="1"/>
  <c r="AH65" i="1"/>
  <c r="AH63" i="1"/>
  <c r="AH55" i="1"/>
  <c r="AH49" i="1"/>
  <c r="AH45" i="1"/>
  <c r="AH39" i="1"/>
  <c r="AH29" i="1"/>
  <c r="AH25" i="1"/>
  <c r="AH15" i="1"/>
  <c r="AH11" i="1"/>
  <c r="P54" i="1"/>
  <c r="U54" i="1" s="1"/>
  <c r="P7" i="1"/>
  <c r="Q7" i="1" s="1"/>
  <c r="R7" i="1" s="1"/>
  <c r="P8" i="1"/>
  <c r="P9" i="1"/>
  <c r="Q9" i="1" s="1"/>
  <c r="R9" i="1" s="1"/>
  <c r="P10" i="1"/>
  <c r="P11" i="1"/>
  <c r="U11" i="1" s="1"/>
  <c r="P12" i="1"/>
  <c r="Q12" i="1" s="1"/>
  <c r="R12" i="1" s="1"/>
  <c r="P13" i="1"/>
  <c r="Q13" i="1" s="1"/>
  <c r="R13" i="1" s="1"/>
  <c r="P14" i="1"/>
  <c r="U14" i="1" s="1"/>
  <c r="P15" i="1"/>
  <c r="U15" i="1" s="1"/>
  <c r="P16" i="1"/>
  <c r="P17" i="1"/>
  <c r="Q17" i="1" s="1"/>
  <c r="R17" i="1" s="1"/>
  <c r="P18" i="1"/>
  <c r="Q18" i="1" s="1"/>
  <c r="R18" i="1" s="1"/>
  <c r="P19" i="1"/>
  <c r="Q19" i="1" s="1"/>
  <c r="R19" i="1" s="1"/>
  <c r="P20" i="1"/>
  <c r="P21" i="1"/>
  <c r="Q21" i="1" s="1"/>
  <c r="R21" i="1" s="1"/>
  <c r="P22" i="1"/>
  <c r="P23" i="1"/>
  <c r="Q23" i="1" s="1"/>
  <c r="R23" i="1" s="1"/>
  <c r="P24" i="1"/>
  <c r="Q24" i="1" s="1"/>
  <c r="R24" i="1" s="1"/>
  <c r="P25" i="1"/>
  <c r="U25" i="1" s="1"/>
  <c r="P26" i="1"/>
  <c r="U26" i="1" s="1"/>
  <c r="P27" i="1"/>
  <c r="P28" i="1"/>
  <c r="U28" i="1" s="1"/>
  <c r="P29" i="1"/>
  <c r="U29" i="1" s="1"/>
  <c r="P30" i="1"/>
  <c r="P31" i="1"/>
  <c r="Q31" i="1" s="1"/>
  <c r="R31" i="1" s="1"/>
  <c r="P32" i="1"/>
  <c r="P33" i="1"/>
  <c r="Q33" i="1" s="1"/>
  <c r="R33" i="1" s="1"/>
  <c r="P34" i="1"/>
  <c r="P35" i="1"/>
  <c r="Q35" i="1" s="1"/>
  <c r="R35" i="1" s="1"/>
  <c r="P36" i="1"/>
  <c r="U36" i="1" s="1"/>
  <c r="P37" i="1"/>
  <c r="Q37" i="1" s="1"/>
  <c r="R37" i="1" s="1"/>
  <c r="P38" i="1"/>
  <c r="Q38" i="1" s="1"/>
  <c r="P39" i="1"/>
  <c r="U39" i="1" s="1"/>
  <c r="P40" i="1"/>
  <c r="P41" i="1"/>
  <c r="Q41" i="1" s="1"/>
  <c r="R41" i="1" s="1"/>
  <c r="P42" i="1"/>
  <c r="U42" i="1" s="1"/>
  <c r="P43" i="1"/>
  <c r="Q43" i="1" s="1"/>
  <c r="P44" i="1"/>
  <c r="U44" i="1" s="1"/>
  <c r="P45" i="1"/>
  <c r="U45" i="1" s="1"/>
  <c r="P46" i="1"/>
  <c r="P47" i="1"/>
  <c r="P48" i="1"/>
  <c r="U48" i="1" s="1"/>
  <c r="P49" i="1"/>
  <c r="U49" i="1" s="1"/>
  <c r="P50" i="1"/>
  <c r="P51" i="1"/>
  <c r="Q51" i="1" s="1"/>
  <c r="R51" i="1" s="1"/>
  <c r="P52" i="1"/>
  <c r="U52" i="1" s="1"/>
  <c r="P53" i="1"/>
  <c r="P55" i="1"/>
  <c r="U55" i="1" s="1"/>
  <c r="P56" i="1"/>
  <c r="P57" i="1"/>
  <c r="Q57" i="1" s="1"/>
  <c r="R57" i="1" s="1"/>
  <c r="P58" i="1"/>
  <c r="U58" i="1" s="1"/>
  <c r="P59" i="1"/>
  <c r="Q59" i="1" s="1"/>
  <c r="R59" i="1" s="1"/>
  <c r="P60" i="1"/>
  <c r="P61" i="1"/>
  <c r="Q61" i="1" s="1"/>
  <c r="R61" i="1" s="1"/>
  <c r="P62" i="1"/>
  <c r="U62" i="1" s="1"/>
  <c r="P63" i="1"/>
  <c r="U63" i="1" s="1"/>
  <c r="P64" i="1"/>
  <c r="U64" i="1" s="1"/>
  <c r="P65" i="1"/>
  <c r="U65" i="1" s="1"/>
  <c r="P66" i="1"/>
  <c r="U66" i="1" s="1"/>
  <c r="P67" i="1"/>
  <c r="U67" i="1" s="1"/>
  <c r="P68" i="1"/>
  <c r="U68" i="1" s="1"/>
  <c r="P69" i="1"/>
  <c r="Q69" i="1" s="1"/>
  <c r="R69" i="1" s="1"/>
  <c r="P70" i="1"/>
  <c r="U70" i="1" s="1"/>
  <c r="P71" i="1"/>
  <c r="U71" i="1" s="1"/>
  <c r="P72" i="1"/>
  <c r="U72" i="1" s="1"/>
  <c r="P73" i="1"/>
  <c r="Q73" i="1" s="1"/>
  <c r="R73" i="1" s="1"/>
  <c r="P74" i="1"/>
  <c r="U74" i="1" s="1"/>
  <c r="P75" i="1"/>
  <c r="U75" i="1" s="1"/>
  <c r="P76" i="1"/>
  <c r="P77" i="1"/>
  <c r="Q77" i="1" s="1"/>
  <c r="R77" i="1" s="1"/>
  <c r="P78" i="1"/>
  <c r="P79" i="1"/>
  <c r="Q79" i="1" s="1"/>
  <c r="P80" i="1"/>
  <c r="P81" i="1"/>
  <c r="U81" i="1" s="1"/>
  <c r="P82" i="1"/>
  <c r="U82" i="1" s="1"/>
  <c r="P83" i="1"/>
  <c r="U83" i="1" s="1"/>
  <c r="P84" i="1"/>
  <c r="U84" i="1" s="1"/>
  <c r="P85" i="1"/>
  <c r="U85" i="1" s="1"/>
  <c r="P86" i="1"/>
  <c r="Q86" i="1" s="1"/>
  <c r="R86" i="1" s="1"/>
  <c r="P87" i="1"/>
  <c r="P88" i="1"/>
  <c r="U88" i="1" s="1"/>
  <c r="P89" i="1"/>
  <c r="U89" i="1" s="1"/>
  <c r="P90" i="1"/>
  <c r="U90" i="1" s="1"/>
  <c r="P91" i="1"/>
  <c r="U91" i="1" s="1"/>
  <c r="P92" i="1"/>
  <c r="U92" i="1" s="1"/>
  <c r="P93" i="1"/>
  <c r="P94" i="1"/>
  <c r="U94" i="1" s="1"/>
  <c r="P95" i="1"/>
  <c r="P6" i="1"/>
  <c r="U6" i="1" s="1"/>
  <c r="U86" i="1" l="1"/>
  <c r="AH86" i="1"/>
  <c r="AH51" i="1"/>
  <c r="U51" i="1"/>
  <c r="AH43" i="1"/>
  <c r="U43" i="1"/>
  <c r="AH41" i="1"/>
  <c r="U41" i="1"/>
  <c r="AH37" i="1"/>
  <c r="U37" i="1"/>
  <c r="AH35" i="1"/>
  <c r="U35" i="1"/>
  <c r="AH33" i="1"/>
  <c r="U33" i="1"/>
  <c r="AH31" i="1"/>
  <c r="U31" i="1"/>
  <c r="AH23" i="1"/>
  <c r="U23" i="1"/>
  <c r="AH21" i="1"/>
  <c r="U21" i="1"/>
  <c r="AH19" i="1"/>
  <c r="U19" i="1"/>
  <c r="AH17" i="1"/>
  <c r="U17" i="1"/>
  <c r="AH13" i="1"/>
  <c r="U13" i="1"/>
  <c r="AH9" i="1"/>
  <c r="U9" i="1"/>
  <c r="AH7" i="1"/>
  <c r="U7" i="1"/>
  <c r="V95" i="1"/>
  <c r="U95" i="1"/>
  <c r="V93" i="1"/>
  <c r="U93" i="1"/>
  <c r="AH79" i="1"/>
  <c r="U79" i="1"/>
  <c r="AH77" i="1"/>
  <c r="U77" i="1"/>
  <c r="AH73" i="1"/>
  <c r="U73" i="1"/>
  <c r="AH69" i="1"/>
  <c r="U69" i="1"/>
  <c r="AH61" i="1"/>
  <c r="U61" i="1"/>
  <c r="AH59" i="1"/>
  <c r="U59" i="1"/>
  <c r="AH57" i="1"/>
  <c r="U57" i="1"/>
  <c r="U38" i="1"/>
  <c r="AH38" i="1"/>
  <c r="AH24" i="1"/>
  <c r="U24" i="1"/>
  <c r="U18" i="1"/>
  <c r="AH18" i="1"/>
  <c r="AH12" i="1"/>
  <c r="U12" i="1"/>
  <c r="V94" i="1"/>
  <c r="V92" i="1"/>
  <c r="Q80" i="1"/>
  <c r="R80" i="1" s="1"/>
  <c r="Q78" i="1"/>
  <c r="R78" i="1" s="1"/>
  <c r="Q76" i="1"/>
  <c r="R76" i="1" s="1"/>
  <c r="Q60" i="1"/>
  <c r="R60" i="1" s="1"/>
  <c r="Q56" i="1"/>
  <c r="R56" i="1" s="1"/>
  <c r="Q50" i="1"/>
  <c r="R50" i="1" s="1"/>
  <c r="Q46" i="1"/>
  <c r="R46" i="1" s="1"/>
  <c r="Q40" i="1"/>
  <c r="R40" i="1" s="1"/>
  <c r="Q34" i="1"/>
  <c r="R34" i="1" s="1"/>
  <c r="Q32" i="1"/>
  <c r="R32" i="1" s="1"/>
  <c r="Q30" i="1"/>
  <c r="R30" i="1" s="1"/>
  <c r="Q22" i="1"/>
  <c r="R22" i="1" s="1"/>
  <c r="Q20" i="1"/>
  <c r="R20" i="1" s="1"/>
  <c r="Q8" i="1"/>
  <c r="R8" i="1" s="1"/>
  <c r="Q10" i="1"/>
  <c r="R10" i="1" s="1"/>
  <c r="Q16" i="1"/>
  <c r="R16" i="1" s="1"/>
  <c r="Q27" i="1"/>
  <c r="R27" i="1" s="1"/>
  <c r="Q47" i="1"/>
  <c r="R47" i="1" s="1"/>
  <c r="Q53" i="1"/>
  <c r="R53" i="1" s="1"/>
  <c r="Q87" i="1"/>
  <c r="R87" i="1" s="1"/>
  <c r="V86" i="1"/>
  <c r="V78" i="1"/>
  <c r="V70" i="1"/>
  <c r="V62" i="1"/>
  <c r="V54" i="1"/>
  <c r="V46" i="1"/>
  <c r="V38" i="1"/>
  <c r="V30" i="1"/>
  <c r="V22" i="1"/>
  <c r="V14" i="1"/>
  <c r="V90" i="1"/>
  <c r="V82" i="1"/>
  <c r="V74" i="1"/>
  <c r="V66" i="1"/>
  <c r="V58" i="1"/>
  <c r="V50" i="1"/>
  <c r="V42" i="1"/>
  <c r="V34" i="1"/>
  <c r="V26" i="1"/>
  <c r="V18" i="1"/>
  <c r="V10" i="1"/>
  <c r="V6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L5" i="1"/>
  <c r="J5" i="1"/>
  <c r="F5" i="1"/>
  <c r="E5" i="1"/>
  <c r="AH53" i="1" l="1"/>
  <c r="U53" i="1"/>
  <c r="AH27" i="1"/>
  <c r="U27" i="1"/>
  <c r="U10" i="1"/>
  <c r="AH10" i="1"/>
  <c r="AH20" i="1"/>
  <c r="U20" i="1"/>
  <c r="U30" i="1"/>
  <c r="AH30" i="1"/>
  <c r="U34" i="1"/>
  <c r="AH34" i="1"/>
  <c r="U46" i="1"/>
  <c r="AH46" i="1"/>
  <c r="AH56" i="1"/>
  <c r="U56" i="1"/>
  <c r="AH76" i="1"/>
  <c r="U76" i="1"/>
  <c r="AH80" i="1"/>
  <c r="U80" i="1"/>
  <c r="AH87" i="1"/>
  <c r="U87" i="1"/>
  <c r="AH47" i="1"/>
  <c r="U47" i="1"/>
  <c r="AH16" i="1"/>
  <c r="U16" i="1"/>
  <c r="AH8" i="1"/>
  <c r="U8" i="1"/>
  <c r="U22" i="1"/>
  <c r="AH22" i="1"/>
  <c r="AH32" i="1"/>
  <c r="U32" i="1"/>
  <c r="AH40" i="1"/>
  <c r="U40" i="1"/>
  <c r="U50" i="1"/>
  <c r="AH50" i="1"/>
  <c r="AH60" i="1"/>
  <c r="U60" i="1"/>
  <c r="U78" i="1"/>
  <c r="AH78" i="1"/>
  <c r="R5" i="1"/>
  <c r="Q5" i="1"/>
  <c r="K5" i="1"/>
  <c r="AH5" i="1" l="1"/>
</calcChain>
</file>

<file path=xl/sharedStrings.xml><?xml version="1.0" encoding="utf-8"?>
<sst xmlns="http://schemas.openxmlformats.org/spreadsheetml/2006/main" count="372" uniqueCount="163">
  <si>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</si>
  <si>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</si>
  <si>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</si>
  <si>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</si>
  <si>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</si>
  <si>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</si>
  <si>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</si>
  <si>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</si>
  <si>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</si>
  <si>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</si>
  <si>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</si>
  <si>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</si>
  <si>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</si>
  <si>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</si>
  <si>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</si>
  <si>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</si>
  <si>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</si>
  <si>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</si>
  <si>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</si>
  <si>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</si>
  <si>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</si>
  <si>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</si>
  <si>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</si>
  <si>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05,04,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</si>
  <si>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</si>
  <si>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</si>
  <si>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</si>
  <si>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</si>
  <si>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</si>
  <si>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</si>
  <si>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</si>
  <si>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</si>
  <si>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</si>
  <si>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</si>
  <si>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</si>
  <si>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</si>
  <si>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</si>
  <si>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</si>
  <si>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</si>
  <si>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</si>
  <si>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сети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</si>
  <si>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</si>
  <si>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</si>
  <si>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</si>
  <si>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</si>
  <si>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</si>
  <si>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</si>
  <si>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</si>
  <si>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</si>
  <si>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</si>
  <si>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</si>
  <si>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</si>
  <si>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</si>
  <si>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</si>
  <si>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</si>
  <si>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</si>
  <si>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</si>
  <si>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</si>
  <si>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</si>
  <si>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</si>
  <si>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</si>
  <si>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</si>
  <si>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 / 21,01,25 списание 16кг (плесень)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</si>
  <si>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</si>
  <si>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</si>
  <si>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</si>
  <si>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нет потребности / перемещение из Луганска (забыли паллет)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</si>
  <si>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</si>
  <si>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</si>
  <si>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</si>
  <si>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</si>
  <si>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</si>
  <si>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</si>
  <si>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</si>
  <si>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</si>
  <si>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</si>
  <si>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</si>
  <si>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</si>
  <si>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</si>
  <si>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</si>
  <si>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</si>
  <si>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возможны скачки продаж из-за оптовика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</si>
  <si>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</si>
  <si>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</si>
  <si>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</si>
  <si>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</si>
  <si>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</si>
  <si>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</si>
  <si>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</si>
  <si>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матрица / Общий прайс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</si>
  <si>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</si>
  <si>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</si>
  <si>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20,03,25 в уценку 15кг / нет в бланке</t>
  </si>
  <si>
    <t xml:space="preserve"> 328  Сардельки Сочинки Стародворье ТМ  0,4 кг ПОКОМ</t>
  </si>
  <si>
    <t>11,12,24 в уценку 10 шт. / 26,11,24 в уценку 178 шт. / возможны скачки продаж из-за оптовика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</si>
  <si>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</si>
  <si>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</si>
  <si>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</si>
  <si>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</si>
  <si>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</si>
  <si>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</si>
  <si>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>перемещение из Луганска (забыли паллет) / дубль на 394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</si>
  <si>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</si>
  <si>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</si>
  <si>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</si>
  <si>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</si>
  <si>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>Пыжик (заказываем с 23,01,25)  / перемещение из Луганска 64кг (забыли паллет)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</si>
  <si>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</si>
  <si>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</si>
  <si>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</si>
  <si>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нет потребности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</si>
  <si>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</si>
  <si>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</si>
  <si>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нет потребности / есть дубль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</si>
  <si>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</si>
  <si>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</si>
  <si>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</si>
  <si>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нет потребности / 27,12,24 в уценку 9 шт. / 29,10,24 в уценку 13 шт.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</si>
  <si>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</si>
  <si>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</si>
  <si>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</si>
  <si>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</si>
  <si>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</si>
  <si>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</si>
  <si>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</si>
  <si>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</si>
  <si>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</si>
  <si>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(постоянные списания) / 05,03,25 в уценку 10 шт. / 05,02,25 12 в уценку 12 шт. / 14,01,25 в уценку 100 шт.</t>
  </si>
  <si>
    <t xml:space="preserve"> 447  Колбаски Краковюрст ТМ Баварушка с изысканными пряностями в оболочке NDX в в.у 0,2 кг. ПОКОМ </t>
  </si>
  <si>
    <t>25,03,25 в уценку 14 шт. / 21,01,25 в уценку 38 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</si>
  <si>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</si>
  <si>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</si>
  <si>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</si>
  <si>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</si>
  <si>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</si>
  <si>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</si>
  <si>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</si>
  <si>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</si>
  <si>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</si>
  <si>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</si>
  <si>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</si>
  <si>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</si>
  <si>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</si>
  <si>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</si>
  <si>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</si>
  <si>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</si>
  <si>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</si>
  <si>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</si>
  <si>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Вареные колбасы «Филейская со шпиком» Весовые п/а ТМ «Вязанка»</t>
  </si>
  <si>
    <t>С/к колбасы Мини-салями во вкусом бекона Ядрена копоть Фикс.вес 0,05 б/о Ядрена копоть</t>
  </si>
  <si>
    <t>завод не отгружает</t>
  </si>
  <si>
    <t>нужно увеличить продажи / вывод / перемещение из Луганска (забыли паллет)</t>
  </si>
  <si>
    <t>нужно увеличить продажи / нет потребности / помощь Донецку</t>
  </si>
  <si>
    <t>нужно увеличить продажи / 20,03,25 в уценку 26кг</t>
  </si>
  <si>
    <t>нужно увеличить продажи / 20,03,25 в уценку 11кг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</si>
  <si>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из Луганска 49кг (забыли паллет) / 09,01,25 списание 27кг (плесень)</t>
    </r>
  </si>
  <si>
    <r>
      <rPr>
        <b/>
        <sz val="10"/>
        <rFont val="Arial"/>
        <family val="2"/>
        <charset val="204"/>
      </rPr>
      <t xml:space="preserve">есть ли потребност??? / 02,04,25 в уценку 50кг </t>
    </r>
    <r>
      <rPr>
        <sz val="10"/>
        <rFont val="Arial"/>
        <family val="2"/>
        <charset val="204"/>
      </rPr>
      <t>/ 02,04,25 в уценку 51кг</t>
    </r>
  </si>
  <si>
    <t xml:space="preserve"> Пром на апрель в сети Мера-маркет</t>
  </si>
  <si>
    <t>ТМА Апрель</t>
  </si>
  <si>
    <t>Под клиента</t>
  </si>
  <si>
    <t>Просьба ТК</t>
  </si>
  <si>
    <t>заказ</t>
  </si>
  <si>
    <t>12,04,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</si>
</sst>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1" xfId="1" applyNumberFormat="1" applyFill="1"/>
    <xf numFmtId="164" fontId="1" fillId="5" borderId="2" xfId="1" applyNumberFormat="1" applyFill="1" applyBorder="1"/>
    <xf numFmtId="164" fontId="4" fillId="9" borderId="1" xfId="1" applyNumberFormat="1" applyFont="1" applyFill="1"/>
    <xf numFmtId="164" fontId="6" fillId="9" borderId="2" xfId="1" applyNumberFormat="1" applyFont="1" applyFill="1" applyBorder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9" width="7" customWidth="1"/>
    <col min="20" max="20" width="21" customWidth="1"/>
    <col min="21" max="22" width="5" customWidth="1"/>
    <col min="23" max="32" width="6" customWidth="1"/>
    <col min="33" max="33" width="38.425781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161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 t="s">
        <v>162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7880.8530000000001</v>
      </c>
      <c r="F5" s="4">
        <f>SUM(F6:F500)</f>
        <v>2637.105</v>
      </c>
      <c r="G5" s="7"/>
      <c r="H5" s="1"/>
      <c r="I5" s="1"/>
      <c r="J5" s="4">
        <f t="shared" ref="J5:S5" si="0">SUM(J6:J500)</f>
        <v>8591.3629999999994</v>
      </c>
      <c r="K5" s="4">
        <f t="shared" si="0"/>
        <v>-710.50999999999988</v>
      </c>
      <c r="L5" s="4">
        <f t="shared" si="0"/>
        <v>0</v>
      </c>
      <c r="M5" s="4">
        <f t="shared" si="0"/>
        <v>0</v>
      </c>
      <c r="N5" s="4">
        <f t="shared" si="0"/>
        <v>6987.2566999999999</v>
      </c>
      <c r="O5" s="4">
        <f t="shared" si="0"/>
        <v>2211.9911999999999</v>
      </c>
      <c r="P5" s="4">
        <f t="shared" si="0"/>
        <v>1576.1705999999999</v>
      </c>
      <c r="Q5" s="4">
        <f t="shared" si="0"/>
        <v>6044.7829200000024</v>
      </c>
      <c r="R5" s="4">
        <f t="shared" si="0"/>
        <v>7723.56538</v>
      </c>
      <c r="S5" s="4">
        <f t="shared" si="0"/>
        <v>1540</v>
      </c>
      <c r="T5" s="1"/>
      <c r="U5" s="1"/>
      <c r="V5" s="1"/>
      <c r="W5" s="4">
        <f t="shared" ref="W5:AF5" si="1">SUM(W6:W500)</f>
        <v>1602.3782000000001</v>
      </c>
      <c r="X5" s="4">
        <f t="shared" si="1"/>
        <v>1672.3418000000001</v>
      </c>
      <c r="Y5" s="4">
        <f t="shared" si="1"/>
        <v>1608.9602000000002</v>
      </c>
      <c r="Z5" s="4">
        <f t="shared" si="1"/>
        <v>1623.8684000000003</v>
      </c>
      <c r="AA5" s="4">
        <f t="shared" si="1"/>
        <v>1690.61</v>
      </c>
      <c r="AB5" s="4">
        <f t="shared" si="1"/>
        <v>1712.6226000000004</v>
      </c>
      <c r="AC5" s="4">
        <f t="shared" si="1"/>
        <v>1686.8180000000002</v>
      </c>
      <c r="AD5" s="4">
        <f t="shared" si="1"/>
        <v>1623.6759999999997</v>
      </c>
      <c r="AE5" s="4">
        <f t="shared" si="1"/>
        <v>1544.0775999999996</v>
      </c>
      <c r="AF5" s="4">
        <f t="shared" si="1"/>
        <v>1479.6568000000004</v>
      </c>
      <c r="AG5" s="1"/>
      <c r="AH5" s="4">
        <f>SUM(AH6:AH500)</f>
        <v>5593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87.201999999999998</v>
      </c>
      <c r="D6" s="1">
        <v>9.8000000000000004E-2</v>
      </c>
      <c r="E6" s="1">
        <v>48.372999999999998</v>
      </c>
      <c r="F6" s="1">
        <v>-1.4999999999999999E-2</v>
      </c>
      <c r="G6" s="7">
        <v>1</v>
      </c>
      <c r="H6" s="1">
        <v>50</v>
      </c>
      <c r="I6" s="1" t="s">
        <v>38</v>
      </c>
      <c r="J6" s="1">
        <v>68.2</v>
      </c>
      <c r="K6" s="1">
        <f t="shared" ref="K6:K37" si="2">E6-J6</f>
        <v>-19.827000000000005</v>
      </c>
      <c r="L6" s="1"/>
      <c r="M6" s="1"/>
      <c r="N6" s="1">
        <v>169.97800000000001</v>
      </c>
      <c r="O6" s="1">
        <v>27.588799999999988</v>
      </c>
      <c r="P6" s="1">
        <f>E6/5</f>
        <v>9.6745999999999999</v>
      </c>
      <c r="Q6" s="21">
        <v>50</v>
      </c>
      <c r="R6" s="5">
        <f>Q6</f>
        <v>50</v>
      </c>
      <c r="S6" s="5"/>
      <c r="T6" s="1"/>
      <c r="U6" s="1">
        <f>(F6+N6+O6+R6)/P6</f>
        <v>25.587807247844875</v>
      </c>
      <c r="V6" s="1">
        <f>(F6+N6+O6)/P6</f>
        <v>20.419634920306784</v>
      </c>
      <c r="W6" s="1">
        <v>23.596800000000002</v>
      </c>
      <c r="X6" s="1">
        <v>23.7376</v>
      </c>
      <c r="Y6" s="1">
        <v>15.42</v>
      </c>
      <c r="Z6" s="1">
        <v>14.901199999999999</v>
      </c>
      <c r="AA6" s="1">
        <v>16.05</v>
      </c>
      <c r="AB6" s="1">
        <v>22.216000000000001</v>
      </c>
      <c r="AC6" s="1">
        <v>26.822800000000001</v>
      </c>
      <c r="AD6" s="1">
        <v>20.075199999999999</v>
      </c>
      <c r="AE6" s="1">
        <v>6.7427999999999999</v>
      </c>
      <c r="AF6" s="1">
        <v>7.4463999999999997</v>
      </c>
      <c r="AG6" s="11" t="s">
        <v>150</v>
      </c>
      <c r="AH6" s="1">
        <f>ROUND(G6*R6,0)</f>
        <v>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89.141999999999996</v>
      </c>
      <c r="D7" s="1"/>
      <c r="E7" s="1">
        <v>64.808000000000007</v>
      </c>
      <c r="F7" s="1">
        <v>14.964</v>
      </c>
      <c r="G7" s="7">
        <v>1</v>
      </c>
      <c r="H7" s="1">
        <v>45</v>
      </c>
      <c r="I7" s="1" t="s">
        <v>38</v>
      </c>
      <c r="J7" s="1">
        <v>57.2</v>
      </c>
      <c r="K7" s="1">
        <f t="shared" si="2"/>
        <v>7.6080000000000041</v>
      </c>
      <c r="L7" s="1"/>
      <c r="M7" s="1"/>
      <c r="N7" s="1">
        <v>0</v>
      </c>
      <c r="O7" s="1"/>
      <c r="P7" s="1">
        <f t="shared" ref="P7:P70" si="3">E7/5</f>
        <v>12.961600000000001</v>
      </c>
      <c r="Q7" s="5">
        <f>9*P7-O7-N7-F7</f>
        <v>101.69040000000001</v>
      </c>
      <c r="R7" s="5">
        <f>Q7</f>
        <v>101.69040000000001</v>
      </c>
      <c r="S7" s="5"/>
      <c r="T7" s="1"/>
      <c r="U7" s="1">
        <f t="shared" ref="U7:U70" si="4">(F7+N7+O7+R7)/P7</f>
        <v>9</v>
      </c>
      <c r="V7" s="1">
        <f t="shared" ref="V7:V70" si="5">(F7+N7+O7)/P7</f>
        <v>1.1544871003579804</v>
      </c>
      <c r="W7" s="1">
        <v>5.6448</v>
      </c>
      <c r="X7" s="1">
        <v>6.4615999999999998</v>
      </c>
      <c r="Y7" s="1">
        <v>6.0220000000000002</v>
      </c>
      <c r="Z7" s="1">
        <v>4.6741999999999999</v>
      </c>
      <c r="AA7" s="1">
        <v>9.9971999999999994</v>
      </c>
      <c r="AB7" s="1">
        <v>10.0182</v>
      </c>
      <c r="AC7" s="1">
        <v>8.0830000000000002</v>
      </c>
      <c r="AD7" s="1">
        <v>8.3805999999999994</v>
      </c>
      <c r="AE7" s="1">
        <v>8.8610000000000007</v>
      </c>
      <c r="AF7" s="1">
        <v>8.8544</v>
      </c>
      <c r="AG7" s="1" t="s">
        <v>40</v>
      </c>
      <c r="AH7" s="1">
        <f t="shared" ref="AH7:AH70" si="6">ROUND(G7*R7,0)</f>
        <v>102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12.302</v>
      </c>
      <c r="D8" s="1">
        <v>107.467</v>
      </c>
      <c r="E8" s="1">
        <v>79.98</v>
      </c>
      <c r="F8" s="1">
        <v>31.602</v>
      </c>
      <c r="G8" s="7">
        <v>1</v>
      </c>
      <c r="H8" s="1">
        <v>45</v>
      </c>
      <c r="I8" s="1" t="s">
        <v>38</v>
      </c>
      <c r="J8" s="1">
        <v>77.5</v>
      </c>
      <c r="K8" s="1">
        <f t="shared" si="2"/>
        <v>2.480000000000004</v>
      </c>
      <c r="L8" s="1"/>
      <c r="M8" s="1"/>
      <c r="N8" s="1">
        <v>57.90899999999997</v>
      </c>
      <c r="O8" s="1"/>
      <c r="P8" s="1">
        <f t="shared" si="3"/>
        <v>15.996</v>
      </c>
      <c r="Q8" s="5">
        <f t="shared" ref="Q8:Q23" si="7">10.3*P8-O8-N8-F8</f>
        <v>75.247800000000041</v>
      </c>
      <c r="R8" s="24">
        <f>Q8+P8</f>
        <v>91.243800000000036</v>
      </c>
      <c r="S8" s="5"/>
      <c r="T8" s="1"/>
      <c r="U8" s="1">
        <f t="shared" si="4"/>
        <v>11.299999999999999</v>
      </c>
      <c r="V8" s="1">
        <f t="shared" si="5"/>
        <v>5.5958364591147767</v>
      </c>
      <c r="W8" s="1">
        <v>13.6038</v>
      </c>
      <c r="X8" s="1">
        <v>15.9802</v>
      </c>
      <c r="Y8" s="1">
        <v>16.8444</v>
      </c>
      <c r="Z8" s="1">
        <v>14.487</v>
      </c>
      <c r="AA8" s="1">
        <v>13.5244</v>
      </c>
      <c r="AB8" s="1">
        <v>15.400600000000001</v>
      </c>
      <c r="AC8" s="1">
        <v>15.928599999999999</v>
      </c>
      <c r="AD8" s="1">
        <v>18.448799999999999</v>
      </c>
      <c r="AE8" s="1">
        <v>18.410799999999998</v>
      </c>
      <c r="AF8" s="1">
        <v>14.5748</v>
      </c>
      <c r="AG8" s="1"/>
      <c r="AH8" s="1">
        <f t="shared" si="6"/>
        <v>91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/>
      <c r="D9" s="1">
        <v>192</v>
      </c>
      <c r="E9" s="1">
        <v>147</v>
      </c>
      <c r="F9" s="1">
        <v>42</v>
      </c>
      <c r="G9" s="7">
        <v>0.45</v>
      </c>
      <c r="H9" s="1">
        <v>45</v>
      </c>
      <c r="I9" s="1" t="s">
        <v>38</v>
      </c>
      <c r="J9" s="1">
        <v>151</v>
      </c>
      <c r="K9" s="1">
        <f t="shared" si="2"/>
        <v>-4</v>
      </c>
      <c r="L9" s="1"/>
      <c r="M9" s="1"/>
      <c r="N9" s="1">
        <v>35</v>
      </c>
      <c r="O9" s="1"/>
      <c r="P9" s="1">
        <f t="shared" si="3"/>
        <v>29.4</v>
      </c>
      <c r="Q9" s="5">
        <f t="shared" si="7"/>
        <v>225.82</v>
      </c>
      <c r="R9" s="24">
        <f t="shared" ref="R9:R10" si="8">Q9+P9</f>
        <v>255.22</v>
      </c>
      <c r="S9" s="5"/>
      <c r="T9" s="1"/>
      <c r="U9" s="1">
        <f t="shared" si="4"/>
        <v>11.3</v>
      </c>
      <c r="V9" s="1">
        <f t="shared" si="5"/>
        <v>2.6190476190476191</v>
      </c>
      <c r="W9" s="1">
        <v>10</v>
      </c>
      <c r="X9" s="1">
        <v>11.6</v>
      </c>
      <c r="Y9" s="1">
        <v>24</v>
      </c>
      <c r="Z9" s="1">
        <v>24.6</v>
      </c>
      <c r="AA9" s="1">
        <v>6.6</v>
      </c>
      <c r="AB9" s="1">
        <v>7.4</v>
      </c>
      <c r="AC9" s="1">
        <v>19.399999999999999</v>
      </c>
      <c r="AD9" s="1">
        <v>19</v>
      </c>
      <c r="AE9" s="1">
        <v>9.6</v>
      </c>
      <c r="AF9" s="1">
        <v>7.8</v>
      </c>
      <c r="AG9" s="1" t="s">
        <v>40</v>
      </c>
      <c r="AH9" s="1">
        <f t="shared" si="6"/>
        <v>115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43</v>
      </c>
      <c r="C10" s="1"/>
      <c r="D10" s="1">
        <v>355.38600000000002</v>
      </c>
      <c r="E10" s="1">
        <v>143.386</v>
      </c>
      <c r="F10" s="1">
        <v>208</v>
      </c>
      <c r="G10" s="7">
        <v>0.45</v>
      </c>
      <c r="H10" s="1">
        <v>45</v>
      </c>
      <c r="I10" s="1" t="s">
        <v>38</v>
      </c>
      <c r="J10" s="1">
        <v>146</v>
      </c>
      <c r="K10" s="1">
        <f t="shared" si="2"/>
        <v>-2.6140000000000043</v>
      </c>
      <c r="L10" s="1"/>
      <c r="M10" s="1"/>
      <c r="N10" s="1">
        <v>0</v>
      </c>
      <c r="O10" s="1"/>
      <c r="P10" s="1">
        <f t="shared" si="3"/>
        <v>28.677199999999999</v>
      </c>
      <c r="Q10" s="5">
        <f t="shared" si="7"/>
        <v>87.375159999999994</v>
      </c>
      <c r="R10" s="24">
        <f t="shared" si="8"/>
        <v>116.05235999999999</v>
      </c>
      <c r="S10" s="5"/>
      <c r="T10" s="1"/>
      <c r="U10" s="1">
        <f t="shared" si="4"/>
        <v>11.3</v>
      </c>
      <c r="V10" s="1">
        <f t="shared" si="5"/>
        <v>7.2531488429832764</v>
      </c>
      <c r="W10" s="1">
        <v>1</v>
      </c>
      <c r="X10" s="1">
        <v>2.8</v>
      </c>
      <c r="Y10" s="1">
        <v>35.4</v>
      </c>
      <c r="Z10" s="1">
        <v>35.4</v>
      </c>
      <c r="AA10" s="1">
        <v>14.4</v>
      </c>
      <c r="AB10" s="1">
        <v>14.2</v>
      </c>
      <c r="AC10" s="1">
        <v>22.8</v>
      </c>
      <c r="AD10" s="1">
        <v>24.4</v>
      </c>
      <c r="AE10" s="1">
        <v>22.8</v>
      </c>
      <c r="AF10" s="1">
        <v>19.600000000000001</v>
      </c>
      <c r="AG10" s="1"/>
      <c r="AH10" s="1">
        <f t="shared" si="6"/>
        <v>52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43</v>
      </c>
      <c r="C11" s="1">
        <v>31</v>
      </c>
      <c r="D11" s="1"/>
      <c r="E11" s="1">
        <v>14</v>
      </c>
      <c r="F11" s="1"/>
      <c r="G11" s="7">
        <v>0.17</v>
      </c>
      <c r="H11" s="1">
        <v>180</v>
      </c>
      <c r="I11" s="1" t="s">
        <v>38</v>
      </c>
      <c r="J11" s="1">
        <v>17</v>
      </c>
      <c r="K11" s="1">
        <f t="shared" si="2"/>
        <v>-3</v>
      </c>
      <c r="L11" s="1"/>
      <c r="M11" s="1"/>
      <c r="N11" s="1">
        <v>43.6</v>
      </c>
      <c r="O11" s="1">
        <v>9.3999999999999986</v>
      </c>
      <c r="P11" s="1">
        <f t="shared" si="3"/>
        <v>2.8</v>
      </c>
      <c r="Q11" s="5">
        <v>20</v>
      </c>
      <c r="R11" s="5">
        <f t="shared" ref="R11:R71" si="9">Q11</f>
        <v>20</v>
      </c>
      <c r="S11" s="5"/>
      <c r="T11" s="1"/>
      <c r="U11" s="1">
        <f t="shared" si="4"/>
        <v>26.071428571428573</v>
      </c>
      <c r="V11" s="1">
        <f t="shared" si="5"/>
        <v>18.928571428571431</v>
      </c>
      <c r="W11" s="1">
        <v>6</v>
      </c>
      <c r="X11" s="1">
        <v>6.4</v>
      </c>
      <c r="Y11" s="1">
        <v>4.4000000000000004</v>
      </c>
      <c r="Z11" s="1">
        <v>4.4000000000000004</v>
      </c>
      <c r="AA11" s="1">
        <v>1.6</v>
      </c>
      <c r="AB11" s="1">
        <v>1</v>
      </c>
      <c r="AC11" s="1">
        <v>0.8</v>
      </c>
      <c r="AD11" s="1">
        <v>1.6</v>
      </c>
      <c r="AE11" s="1">
        <v>6.2</v>
      </c>
      <c r="AF11" s="1">
        <v>5.4</v>
      </c>
      <c r="AG11" s="1"/>
      <c r="AH11" s="1">
        <f t="shared" si="6"/>
        <v>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43</v>
      </c>
      <c r="C12" s="1">
        <v>24</v>
      </c>
      <c r="D12" s="1"/>
      <c r="E12" s="1">
        <v>19</v>
      </c>
      <c r="F12" s="1"/>
      <c r="G12" s="7">
        <v>0.3</v>
      </c>
      <c r="H12" s="1">
        <v>40</v>
      </c>
      <c r="I12" s="1" t="s">
        <v>38</v>
      </c>
      <c r="J12" s="1">
        <v>18</v>
      </c>
      <c r="K12" s="1">
        <f t="shared" si="2"/>
        <v>1</v>
      </c>
      <c r="L12" s="1"/>
      <c r="M12" s="1"/>
      <c r="N12" s="1">
        <v>0</v>
      </c>
      <c r="O12" s="1">
        <v>6</v>
      </c>
      <c r="P12" s="1">
        <f t="shared" si="3"/>
        <v>3.8</v>
      </c>
      <c r="Q12" s="5">
        <f>9.5*P12-O12-N12-F12</f>
        <v>30.1</v>
      </c>
      <c r="R12" s="5">
        <f t="shared" si="9"/>
        <v>30.1</v>
      </c>
      <c r="S12" s="5"/>
      <c r="T12" s="1"/>
      <c r="U12" s="1">
        <f t="shared" si="4"/>
        <v>9.5</v>
      </c>
      <c r="V12" s="1">
        <f t="shared" si="5"/>
        <v>1.5789473684210527</v>
      </c>
      <c r="W12" s="1">
        <v>2</v>
      </c>
      <c r="X12" s="1">
        <v>1.8</v>
      </c>
      <c r="Y12" s="1">
        <v>1.8</v>
      </c>
      <c r="Z12" s="1">
        <v>2.6</v>
      </c>
      <c r="AA12" s="1">
        <v>1.4</v>
      </c>
      <c r="AB12" s="1">
        <v>0</v>
      </c>
      <c r="AC12" s="1">
        <v>4</v>
      </c>
      <c r="AD12" s="1">
        <v>3.8</v>
      </c>
      <c r="AE12" s="1">
        <v>2</v>
      </c>
      <c r="AF12" s="1">
        <v>1.8</v>
      </c>
      <c r="AG12" s="1"/>
      <c r="AH12" s="1">
        <f t="shared" si="6"/>
        <v>9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43</v>
      </c>
      <c r="C13" s="1">
        <v>50</v>
      </c>
      <c r="D13" s="1"/>
      <c r="E13" s="1">
        <v>32</v>
      </c>
      <c r="F13" s="1">
        <v>1</v>
      </c>
      <c r="G13" s="7">
        <v>0.17</v>
      </c>
      <c r="H13" s="1">
        <v>180</v>
      </c>
      <c r="I13" s="1" t="s">
        <v>38</v>
      </c>
      <c r="J13" s="1">
        <v>32</v>
      </c>
      <c r="K13" s="1">
        <f t="shared" si="2"/>
        <v>0</v>
      </c>
      <c r="L13" s="1"/>
      <c r="M13" s="1"/>
      <c r="N13" s="1">
        <v>35</v>
      </c>
      <c r="O13" s="1"/>
      <c r="P13" s="1">
        <f t="shared" si="3"/>
        <v>6.4</v>
      </c>
      <c r="Q13" s="5">
        <f t="shared" si="7"/>
        <v>29.92</v>
      </c>
      <c r="R13" s="5">
        <f t="shared" si="9"/>
        <v>29.92</v>
      </c>
      <c r="S13" s="5"/>
      <c r="T13" s="1"/>
      <c r="U13" s="1">
        <f t="shared" si="4"/>
        <v>10.299999999999999</v>
      </c>
      <c r="V13" s="1">
        <f t="shared" si="5"/>
        <v>5.625</v>
      </c>
      <c r="W13" s="1">
        <v>5.8</v>
      </c>
      <c r="X13" s="1">
        <v>6.8</v>
      </c>
      <c r="Y13" s="1">
        <v>5.8</v>
      </c>
      <c r="Z13" s="1">
        <v>5.6</v>
      </c>
      <c r="AA13" s="1">
        <v>4</v>
      </c>
      <c r="AB13" s="1">
        <v>3.2</v>
      </c>
      <c r="AC13" s="1">
        <v>2</v>
      </c>
      <c r="AD13" s="1">
        <v>2.4</v>
      </c>
      <c r="AE13" s="1">
        <v>10</v>
      </c>
      <c r="AF13" s="1">
        <v>9.6</v>
      </c>
      <c r="AG13" s="1"/>
      <c r="AH13" s="1">
        <f t="shared" si="6"/>
        <v>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43</v>
      </c>
      <c r="C14" s="1">
        <v>3</v>
      </c>
      <c r="D14" s="1"/>
      <c r="E14" s="1">
        <v>-1</v>
      </c>
      <c r="F14" s="1"/>
      <c r="G14" s="7">
        <v>0.35</v>
      </c>
      <c r="H14" s="1">
        <v>50</v>
      </c>
      <c r="I14" s="1" t="s">
        <v>38</v>
      </c>
      <c r="J14" s="1">
        <v>2</v>
      </c>
      <c r="K14" s="1">
        <f t="shared" si="2"/>
        <v>-3</v>
      </c>
      <c r="L14" s="1"/>
      <c r="M14" s="1"/>
      <c r="N14" s="1">
        <v>13.4</v>
      </c>
      <c r="O14" s="1">
        <v>5.4</v>
      </c>
      <c r="P14" s="1">
        <f t="shared" si="3"/>
        <v>-0.2</v>
      </c>
      <c r="Q14" s="5">
        <v>6</v>
      </c>
      <c r="R14" s="5">
        <f t="shared" si="9"/>
        <v>6</v>
      </c>
      <c r="S14" s="5"/>
      <c r="T14" s="1"/>
      <c r="U14" s="1">
        <f t="shared" si="4"/>
        <v>-124</v>
      </c>
      <c r="V14" s="1">
        <f t="shared" si="5"/>
        <v>-94</v>
      </c>
      <c r="W14" s="1">
        <v>1.8</v>
      </c>
      <c r="X14" s="1">
        <v>1.8</v>
      </c>
      <c r="Y14" s="1">
        <v>0.6</v>
      </c>
      <c r="Z14" s="1">
        <v>0.6</v>
      </c>
      <c r="AA14" s="1">
        <v>1</v>
      </c>
      <c r="AB14" s="1">
        <v>1.2</v>
      </c>
      <c r="AC14" s="1">
        <v>-0.2</v>
      </c>
      <c r="AD14" s="1">
        <v>0</v>
      </c>
      <c r="AE14" s="1">
        <v>1.4</v>
      </c>
      <c r="AF14" s="1">
        <v>1</v>
      </c>
      <c r="AG14" s="1"/>
      <c r="AH14" s="1">
        <f t="shared" si="6"/>
        <v>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43</v>
      </c>
      <c r="C15" s="1">
        <v>1</v>
      </c>
      <c r="D15" s="1"/>
      <c r="E15" s="1"/>
      <c r="F15" s="1"/>
      <c r="G15" s="7">
        <v>0.35</v>
      </c>
      <c r="H15" s="1">
        <v>50</v>
      </c>
      <c r="I15" s="1" t="s">
        <v>38</v>
      </c>
      <c r="J15" s="1"/>
      <c r="K15" s="1">
        <f t="shared" si="2"/>
        <v>0</v>
      </c>
      <c r="L15" s="1"/>
      <c r="M15" s="1"/>
      <c r="N15" s="1">
        <v>20</v>
      </c>
      <c r="O15" s="1">
        <v>10.8</v>
      </c>
      <c r="P15" s="1">
        <f t="shared" si="3"/>
        <v>0</v>
      </c>
      <c r="Q15" s="5"/>
      <c r="R15" s="5">
        <f t="shared" si="9"/>
        <v>0</v>
      </c>
      <c r="S15" s="5"/>
      <c r="T15" s="1"/>
      <c r="U15" s="1" t="e">
        <f t="shared" si="4"/>
        <v>#DIV/0!</v>
      </c>
      <c r="V15" s="1" t="e">
        <f t="shared" si="5"/>
        <v>#DIV/0!</v>
      </c>
      <c r="W15" s="1">
        <v>2.8</v>
      </c>
      <c r="X15" s="1">
        <v>3.2</v>
      </c>
      <c r="Y15" s="1">
        <v>1.4</v>
      </c>
      <c r="Z15" s="1">
        <v>1.4</v>
      </c>
      <c r="AA15" s="1">
        <v>1.6</v>
      </c>
      <c r="AB15" s="1">
        <v>1.8</v>
      </c>
      <c r="AC15" s="1">
        <v>0</v>
      </c>
      <c r="AD15" s="1">
        <v>0.2</v>
      </c>
      <c r="AE15" s="1">
        <v>3.6</v>
      </c>
      <c r="AF15" s="1">
        <v>3.4</v>
      </c>
      <c r="AG15" s="1"/>
      <c r="AH15" s="1">
        <f t="shared" si="6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37</v>
      </c>
      <c r="C16" s="1">
        <v>169.44</v>
      </c>
      <c r="D16" s="1">
        <v>1.74</v>
      </c>
      <c r="E16" s="1">
        <v>80.096000000000004</v>
      </c>
      <c r="F16" s="1">
        <v>70.858000000000004</v>
      </c>
      <c r="G16" s="7">
        <v>1</v>
      </c>
      <c r="H16" s="1">
        <v>55</v>
      </c>
      <c r="I16" s="1" t="s">
        <v>38</v>
      </c>
      <c r="J16" s="1">
        <v>75.664000000000001</v>
      </c>
      <c r="K16" s="1">
        <f t="shared" si="2"/>
        <v>4.4320000000000022</v>
      </c>
      <c r="L16" s="1"/>
      <c r="M16" s="1"/>
      <c r="N16" s="1">
        <v>36.541199999999982</v>
      </c>
      <c r="O16" s="1">
        <v>32.314800000000048</v>
      </c>
      <c r="P16" s="1">
        <f t="shared" si="3"/>
        <v>16.019200000000001</v>
      </c>
      <c r="Q16" s="5">
        <f t="shared" si="7"/>
        <v>25.283760000000001</v>
      </c>
      <c r="R16" s="5">
        <f t="shared" si="9"/>
        <v>25.283760000000001</v>
      </c>
      <c r="S16" s="5"/>
      <c r="T16" s="1"/>
      <c r="U16" s="1">
        <f t="shared" si="4"/>
        <v>10.3</v>
      </c>
      <c r="V16" s="1">
        <f t="shared" si="5"/>
        <v>8.7216590091889739</v>
      </c>
      <c r="W16" s="1">
        <v>23.446000000000002</v>
      </c>
      <c r="X16" s="1">
        <v>23.438400000000001</v>
      </c>
      <c r="Y16" s="1">
        <v>15.8162</v>
      </c>
      <c r="Z16" s="1">
        <v>17.888200000000001</v>
      </c>
      <c r="AA16" s="1">
        <v>31.4056</v>
      </c>
      <c r="AB16" s="1">
        <v>30.393599999999999</v>
      </c>
      <c r="AC16" s="1">
        <v>19.087399999999999</v>
      </c>
      <c r="AD16" s="1">
        <v>23.476199999999999</v>
      </c>
      <c r="AE16" s="1">
        <v>25.986599999999999</v>
      </c>
      <c r="AF16" s="1">
        <v>21.9466</v>
      </c>
      <c r="AG16" s="10" t="s">
        <v>40</v>
      </c>
      <c r="AH16" s="1">
        <f t="shared" si="6"/>
        <v>25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37</v>
      </c>
      <c r="C17" s="1">
        <v>593.99699999999996</v>
      </c>
      <c r="D17" s="1">
        <v>224.489</v>
      </c>
      <c r="E17" s="1">
        <v>720.65200000000004</v>
      </c>
      <c r="F17" s="1"/>
      <c r="G17" s="7">
        <v>1</v>
      </c>
      <c r="H17" s="1">
        <v>50</v>
      </c>
      <c r="I17" s="1" t="s">
        <v>38</v>
      </c>
      <c r="J17" s="1">
        <v>722.5</v>
      </c>
      <c r="K17" s="1">
        <f t="shared" si="2"/>
        <v>-1.8479999999999563</v>
      </c>
      <c r="L17" s="1"/>
      <c r="M17" s="1"/>
      <c r="N17" s="1">
        <v>795.00440000000026</v>
      </c>
      <c r="O17" s="1">
        <v>152.88499999999991</v>
      </c>
      <c r="P17" s="1">
        <f t="shared" si="3"/>
        <v>144.13040000000001</v>
      </c>
      <c r="Q17" s="5">
        <f t="shared" si="7"/>
        <v>536.65372000000002</v>
      </c>
      <c r="R17" s="24">
        <f>Q17+P17</f>
        <v>680.78412000000003</v>
      </c>
      <c r="S17" s="5"/>
      <c r="T17" s="1"/>
      <c r="U17" s="1">
        <f t="shared" si="4"/>
        <v>11.3</v>
      </c>
      <c r="V17" s="1">
        <f t="shared" si="5"/>
        <v>6.5766097922436906</v>
      </c>
      <c r="W17" s="1">
        <v>172.30179999999999</v>
      </c>
      <c r="X17" s="1">
        <v>188.45939999999999</v>
      </c>
      <c r="Y17" s="1">
        <v>183.7166</v>
      </c>
      <c r="Z17" s="1">
        <v>173.93520000000001</v>
      </c>
      <c r="AA17" s="1">
        <v>193.48179999999999</v>
      </c>
      <c r="AB17" s="1">
        <v>211.0248</v>
      </c>
      <c r="AC17" s="1">
        <v>194.94</v>
      </c>
      <c r="AD17" s="1">
        <v>180.6472</v>
      </c>
      <c r="AE17" s="1">
        <v>166.75219999999999</v>
      </c>
      <c r="AF17" s="1">
        <v>144.1662</v>
      </c>
      <c r="AG17" s="1"/>
      <c r="AH17" s="1">
        <f t="shared" si="6"/>
        <v>681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37</v>
      </c>
      <c r="C18" s="1">
        <v>10.497999999999999</v>
      </c>
      <c r="D18" s="1">
        <v>47.31</v>
      </c>
      <c r="E18" s="1">
        <v>37.662999999999997</v>
      </c>
      <c r="F18" s="1">
        <v>18.38</v>
      </c>
      <c r="G18" s="7">
        <v>1</v>
      </c>
      <c r="H18" s="1">
        <v>60</v>
      </c>
      <c r="I18" s="1" t="s">
        <v>38</v>
      </c>
      <c r="J18" s="1">
        <v>35</v>
      </c>
      <c r="K18" s="1">
        <f t="shared" si="2"/>
        <v>2.6629999999999967</v>
      </c>
      <c r="L18" s="1"/>
      <c r="M18" s="1"/>
      <c r="N18" s="1">
        <v>0</v>
      </c>
      <c r="O18" s="1"/>
      <c r="P18" s="1">
        <f t="shared" si="3"/>
        <v>7.5325999999999995</v>
      </c>
      <c r="Q18" s="5">
        <f>10*P18-O18-N18-F18</f>
        <v>56.945999999999998</v>
      </c>
      <c r="R18" s="5">
        <f t="shared" si="9"/>
        <v>56.945999999999998</v>
      </c>
      <c r="S18" s="5"/>
      <c r="T18" s="1"/>
      <c r="U18" s="1">
        <f t="shared" si="4"/>
        <v>10</v>
      </c>
      <c r="V18" s="1">
        <f t="shared" si="5"/>
        <v>2.4400605368664205</v>
      </c>
      <c r="W18" s="1">
        <v>4.3984000000000014</v>
      </c>
      <c r="X18" s="1">
        <v>3.6911999999999998</v>
      </c>
      <c r="Y18" s="1">
        <v>6.0591999999999997</v>
      </c>
      <c r="Z18" s="1">
        <v>5.8823999999999996</v>
      </c>
      <c r="AA18" s="1">
        <v>4.5846</v>
      </c>
      <c r="AB18" s="1">
        <v>4.4093999999999998</v>
      </c>
      <c r="AC18" s="1">
        <v>4.1852</v>
      </c>
      <c r="AD18" s="1">
        <v>4.5324</v>
      </c>
      <c r="AE18" s="1">
        <v>7.9111999999999991</v>
      </c>
      <c r="AF18" s="1">
        <v>7.5640000000000001</v>
      </c>
      <c r="AG18" s="1"/>
      <c r="AH18" s="1">
        <f t="shared" si="6"/>
        <v>57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37</v>
      </c>
      <c r="C19" s="1">
        <v>313.71300000000002</v>
      </c>
      <c r="D19" s="1">
        <v>179.261</v>
      </c>
      <c r="E19" s="1">
        <v>265.25200000000001</v>
      </c>
      <c r="F19" s="1">
        <v>199.25899999999999</v>
      </c>
      <c r="G19" s="7">
        <v>1</v>
      </c>
      <c r="H19" s="1">
        <v>60</v>
      </c>
      <c r="I19" s="1" t="s">
        <v>38</v>
      </c>
      <c r="J19" s="1">
        <v>265.02499999999998</v>
      </c>
      <c r="K19" s="1">
        <f t="shared" si="2"/>
        <v>0.22700000000003229</v>
      </c>
      <c r="L19" s="1"/>
      <c r="M19" s="1"/>
      <c r="N19" s="1">
        <v>125.3599999999998</v>
      </c>
      <c r="O19" s="1"/>
      <c r="P19" s="1">
        <f t="shared" si="3"/>
        <v>53.050400000000003</v>
      </c>
      <c r="Q19" s="5">
        <f t="shared" si="7"/>
        <v>221.80012000000025</v>
      </c>
      <c r="R19" s="24">
        <f>Q19+P19</f>
        <v>274.85052000000024</v>
      </c>
      <c r="S19" s="5"/>
      <c r="T19" s="1"/>
      <c r="U19" s="1">
        <f t="shared" si="4"/>
        <v>11.3</v>
      </c>
      <c r="V19" s="1">
        <f t="shared" si="5"/>
        <v>6.1190679052372801</v>
      </c>
      <c r="W19" s="1">
        <v>45.464399999999998</v>
      </c>
      <c r="X19" s="1">
        <v>59.327399999999997</v>
      </c>
      <c r="Y19" s="1">
        <v>59.666200000000003</v>
      </c>
      <c r="Z19" s="1">
        <v>55.2164</v>
      </c>
      <c r="AA19" s="1">
        <v>69.369399999999999</v>
      </c>
      <c r="AB19" s="1">
        <v>66.881200000000007</v>
      </c>
      <c r="AC19" s="1">
        <v>55.191800000000001</v>
      </c>
      <c r="AD19" s="1">
        <v>51.198999999999998</v>
      </c>
      <c r="AE19" s="1">
        <v>43.782400000000003</v>
      </c>
      <c r="AF19" s="1">
        <v>47.780200000000001</v>
      </c>
      <c r="AG19" s="1"/>
      <c r="AH19" s="1">
        <f t="shared" si="6"/>
        <v>275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37</v>
      </c>
      <c r="C20" s="1">
        <v>28.058</v>
      </c>
      <c r="D20" s="1">
        <v>10.494999999999999</v>
      </c>
      <c r="E20" s="1">
        <v>23.597000000000001</v>
      </c>
      <c r="F20" s="1">
        <v>14.074999999999999</v>
      </c>
      <c r="G20" s="7">
        <v>1</v>
      </c>
      <c r="H20" s="1">
        <v>60</v>
      </c>
      <c r="I20" s="1" t="s">
        <v>38</v>
      </c>
      <c r="J20" s="1">
        <v>21.869</v>
      </c>
      <c r="K20" s="1">
        <f t="shared" si="2"/>
        <v>1.7280000000000015</v>
      </c>
      <c r="L20" s="1"/>
      <c r="M20" s="1"/>
      <c r="N20" s="1">
        <v>0</v>
      </c>
      <c r="O20" s="1">
        <v>8.0829999999999984</v>
      </c>
      <c r="P20" s="1">
        <f t="shared" si="3"/>
        <v>4.7194000000000003</v>
      </c>
      <c r="Q20" s="5">
        <f t="shared" si="7"/>
        <v>26.451820000000009</v>
      </c>
      <c r="R20" s="5">
        <f t="shared" si="9"/>
        <v>26.451820000000009</v>
      </c>
      <c r="S20" s="5"/>
      <c r="T20" s="1"/>
      <c r="U20" s="1">
        <f t="shared" si="4"/>
        <v>10.3</v>
      </c>
      <c r="V20" s="1">
        <f t="shared" si="5"/>
        <v>4.695088358689663</v>
      </c>
      <c r="W20" s="1">
        <v>3.8460000000000001</v>
      </c>
      <c r="X20" s="1">
        <v>3.3323999999999998</v>
      </c>
      <c r="Y20" s="1">
        <v>3.4674</v>
      </c>
      <c r="Z20" s="1">
        <v>4.1676000000000002</v>
      </c>
      <c r="AA20" s="1">
        <v>4.5407999999999999</v>
      </c>
      <c r="AB20" s="1">
        <v>4.1818</v>
      </c>
      <c r="AC20" s="1">
        <v>5.0773999999999999</v>
      </c>
      <c r="AD20" s="1">
        <v>5.2671999999999999</v>
      </c>
      <c r="AE20" s="1">
        <v>4.2037999999999993</v>
      </c>
      <c r="AF20" s="1">
        <v>4.0221999999999998</v>
      </c>
      <c r="AG20" s="1"/>
      <c r="AH20" s="1">
        <f t="shared" si="6"/>
        <v>26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37</v>
      </c>
      <c r="C21" s="1">
        <v>274.298</v>
      </c>
      <c r="D21" s="1">
        <v>55.161999999999999</v>
      </c>
      <c r="E21" s="1">
        <v>136.16200000000001</v>
      </c>
      <c r="F21" s="1">
        <v>152.9</v>
      </c>
      <c r="G21" s="7">
        <v>1</v>
      </c>
      <c r="H21" s="1">
        <v>60</v>
      </c>
      <c r="I21" s="1" t="s">
        <v>38</v>
      </c>
      <c r="J21" s="1">
        <v>124.2</v>
      </c>
      <c r="K21" s="1">
        <f t="shared" si="2"/>
        <v>11.962000000000003</v>
      </c>
      <c r="L21" s="1"/>
      <c r="M21" s="1"/>
      <c r="N21" s="1">
        <v>16.993600000000011</v>
      </c>
      <c r="O21" s="1">
        <v>51.085199999999929</v>
      </c>
      <c r="P21" s="1">
        <f t="shared" si="3"/>
        <v>27.232400000000002</v>
      </c>
      <c r="Q21" s="5">
        <f t="shared" si="7"/>
        <v>59.514920000000103</v>
      </c>
      <c r="R21" s="24">
        <f>Q21+2*P21</f>
        <v>113.9797200000001</v>
      </c>
      <c r="S21" s="5"/>
      <c r="T21" s="1"/>
      <c r="U21" s="1">
        <f t="shared" si="4"/>
        <v>12.3</v>
      </c>
      <c r="V21" s="1">
        <f t="shared" si="5"/>
        <v>8.1145547215816425</v>
      </c>
      <c r="W21" s="1">
        <v>28.316400000000002</v>
      </c>
      <c r="X21" s="1">
        <v>27.435600000000001</v>
      </c>
      <c r="Y21" s="1">
        <v>20.066400000000002</v>
      </c>
      <c r="Z21" s="1">
        <v>24.487400000000001</v>
      </c>
      <c r="AA21" s="1">
        <v>40.804600000000001</v>
      </c>
      <c r="AB21" s="1">
        <v>38.700200000000002</v>
      </c>
      <c r="AC21" s="1">
        <v>26.024000000000001</v>
      </c>
      <c r="AD21" s="1">
        <v>26.170200000000001</v>
      </c>
      <c r="AE21" s="1">
        <v>29.544799999999999</v>
      </c>
      <c r="AF21" s="1">
        <v>29.207999999999998</v>
      </c>
      <c r="AG21" s="10" t="s">
        <v>58</v>
      </c>
      <c r="AH21" s="1">
        <f t="shared" si="6"/>
        <v>114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37</v>
      </c>
      <c r="C22" s="1">
        <v>29.030999999999999</v>
      </c>
      <c r="D22" s="1">
        <v>73.34</v>
      </c>
      <c r="E22" s="1">
        <v>84.097999999999999</v>
      </c>
      <c r="F22" s="1">
        <v>5.9690000000000003</v>
      </c>
      <c r="G22" s="7">
        <v>1</v>
      </c>
      <c r="H22" s="1">
        <v>60</v>
      </c>
      <c r="I22" s="1" t="s">
        <v>38</v>
      </c>
      <c r="J22" s="1">
        <v>78.346000000000004</v>
      </c>
      <c r="K22" s="1">
        <f t="shared" si="2"/>
        <v>5.7519999999999953</v>
      </c>
      <c r="L22" s="1"/>
      <c r="M22" s="1"/>
      <c r="N22" s="1">
        <v>55.4452</v>
      </c>
      <c r="O22" s="1"/>
      <c r="P22" s="1">
        <f t="shared" si="3"/>
        <v>16.819600000000001</v>
      </c>
      <c r="Q22" s="5">
        <f t="shared" si="7"/>
        <v>111.82768000000004</v>
      </c>
      <c r="R22" s="24">
        <f t="shared" ref="R22:R23" si="10">Q22+2*P22</f>
        <v>145.46688000000006</v>
      </c>
      <c r="S22" s="5"/>
      <c r="T22" s="1"/>
      <c r="U22" s="1">
        <f t="shared" si="4"/>
        <v>12.300000000000002</v>
      </c>
      <c r="V22" s="1">
        <f t="shared" si="5"/>
        <v>3.6513472377464384</v>
      </c>
      <c r="W22" s="1">
        <v>11.6084</v>
      </c>
      <c r="X22" s="1">
        <v>13.004200000000001</v>
      </c>
      <c r="Y22" s="1">
        <v>10.8704</v>
      </c>
      <c r="Z22" s="1">
        <v>9.6408000000000005</v>
      </c>
      <c r="AA22" s="1">
        <v>11.2256</v>
      </c>
      <c r="AB22" s="1">
        <v>12.276</v>
      </c>
      <c r="AC22" s="1">
        <v>11.9278</v>
      </c>
      <c r="AD22" s="1">
        <v>11.574999999999999</v>
      </c>
      <c r="AE22" s="1">
        <v>10.530799999999999</v>
      </c>
      <c r="AF22" s="1">
        <v>12.9864</v>
      </c>
      <c r="AG22" s="1" t="s">
        <v>58</v>
      </c>
      <c r="AH22" s="1">
        <f t="shared" si="6"/>
        <v>145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37</v>
      </c>
      <c r="C23" s="1">
        <v>23.824000000000002</v>
      </c>
      <c r="D23" s="1">
        <v>100.009</v>
      </c>
      <c r="E23" s="1">
        <v>71.096999999999994</v>
      </c>
      <c r="F23" s="1">
        <v>39.700000000000003</v>
      </c>
      <c r="G23" s="7">
        <v>1</v>
      </c>
      <c r="H23" s="1">
        <v>60</v>
      </c>
      <c r="I23" s="1" t="s">
        <v>38</v>
      </c>
      <c r="J23" s="1">
        <v>68.182000000000002</v>
      </c>
      <c r="K23" s="1">
        <f t="shared" si="2"/>
        <v>2.914999999999992</v>
      </c>
      <c r="L23" s="1"/>
      <c r="M23" s="1"/>
      <c r="N23" s="1">
        <v>0</v>
      </c>
      <c r="O23" s="1">
        <v>3.6726000000000032</v>
      </c>
      <c r="P23" s="1">
        <f t="shared" si="3"/>
        <v>14.219399999999998</v>
      </c>
      <c r="Q23" s="5">
        <f t="shared" si="7"/>
        <v>103.08721999999999</v>
      </c>
      <c r="R23" s="24">
        <f t="shared" si="10"/>
        <v>131.52601999999999</v>
      </c>
      <c r="S23" s="5"/>
      <c r="T23" s="1"/>
      <c r="U23" s="1">
        <f t="shared" si="4"/>
        <v>12.3</v>
      </c>
      <c r="V23" s="1">
        <f t="shared" si="5"/>
        <v>3.0502412197420434</v>
      </c>
      <c r="W23" s="1">
        <v>9.1598000000000006</v>
      </c>
      <c r="X23" s="1">
        <v>8.4649999999999999</v>
      </c>
      <c r="Y23" s="1">
        <v>10.3796</v>
      </c>
      <c r="Z23" s="1">
        <v>11.602399999999999</v>
      </c>
      <c r="AA23" s="1">
        <v>9.6736000000000004</v>
      </c>
      <c r="AB23" s="1">
        <v>8.9676000000000009</v>
      </c>
      <c r="AC23" s="1">
        <v>11.7746</v>
      </c>
      <c r="AD23" s="1">
        <v>10.7212</v>
      </c>
      <c r="AE23" s="1">
        <v>9.3195999999999994</v>
      </c>
      <c r="AF23" s="1">
        <v>13.1754</v>
      </c>
      <c r="AG23" s="1" t="s">
        <v>58</v>
      </c>
      <c r="AH23" s="1">
        <f t="shared" si="6"/>
        <v>132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37</v>
      </c>
      <c r="C24" s="1">
        <v>80.802999999999997</v>
      </c>
      <c r="D24" s="1">
        <v>0.88100000000000001</v>
      </c>
      <c r="E24" s="1">
        <v>71.603999999999999</v>
      </c>
      <c r="F24" s="1">
        <v>1.75</v>
      </c>
      <c r="G24" s="7">
        <v>1</v>
      </c>
      <c r="H24" s="1">
        <v>60</v>
      </c>
      <c r="I24" s="1" t="s">
        <v>38</v>
      </c>
      <c r="J24" s="1">
        <v>69.957999999999998</v>
      </c>
      <c r="K24" s="1">
        <f t="shared" si="2"/>
        <v>1.6460000000000008</v>
      </c>
      <c r="L24" s="1"/>
      <c r="M24" s="1"/>
      <c r="N24" s="1">
        <v>0</v>
      </c>
      <c r="O24" s="1">
        <v>7.893400000000014</v>
      </c>
      <c r="P24" s="1">
        <f t="shared" si="3"/>
        <v>14.3208</v>
      </c>
      <c r="Q24" s="5">
        <f>9*P24-O24-N24-F24</f>
        <v>119.24379999999999</v>
      </c>
      <c r="R24" s="5">
        <f t="shared" si="9"/>
        <v>119.24379999999999</v>
      </c>
      <c r="S24" s="5"/>
      <c r="T24" s="1"/>
      <c r="U24" s="1">
        <f t="shared" si="4"/>
        <v>9</v>
      </c>
      <c r="V24" s="1">
        <f t="shared" si="5"/>
        <v>0.67338416848220861</v>
      </c>
      <c r="W24" s="1">
        <v>8.5866000000000007</v>
      </c>
      <c r="X24" s="1">
        <v>9.1120000000000001</v>
      </c>
      <c r="Y24" s="1">
        <v>14.2098</v>
      </c>
      <c r="Z24" s="1">
        <v>14.9038</v>
      </c>
      <c r="AA24" s="1">
        <v>16.504799999999999</v>
      </c>
      <c r="AB24" s="1">
        <v>16.5198</v>
      </c>
      <c r="AC24" s="1">
        <v>12.3154</v>
      </c>
      <c r="AD24" s="1">
        <v>14.071999999999999</v>
      </c>
      <c r="AE24" s="1">
        <v>13.0174</v>
      </c>
      <c r="AF24" s="1">
        <v>11.43</v>
      </c>
      <c r="AG24" s="1"/>
      <c r="AH24" s="1">
        <f t="shared" si="6"/>
        <v>119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7" t="s">
        <v>61</v>
      </c>
      <c r="B25" s="17" t="s">
        <v>37</v>
      </c>
      <c r="C25" s="17"/>
      <c r="D25" s="17"/>
      <c r="E25" s="17"/>
      <c r="F25" s="17"/>
      <c r="G25" s="18">
        <v>0</v>
      </c>
      <c r="H25" s="17">
        <v>30</v>
      </c>
      <c r="I25" s="17" t="s">
        <v>38</v>
      </c>
      <c r="J25" s="17"/>
      <c r="K25" s="17">
        <f t="shared" si="2"/>
        <v>0</v>
      </c>
      <c r="L25" s="17"/>
      <c r="M25" s="17"/>
      <c r="N25" s="17">
        <v>0</v>
      </c>
      <c r="O25" s="17"/>
      <c r="P25" s="17">
        <f t="shared" si="3"/>
        <v>0</v>
      </c>
      <c r="Q25" s="19"/>
      <c r="R25" s="5">
        <f t="shared" si="9"/>
        <v>0</v>
      </c>
      <c r="S25" s="19"/>
      <c r="T25" s="17"/>
      <c r="U25" s="1" t="e">
        <f t="shared" si="4"/>
        <v>#DIV/0!</v>
      </c>
      <c r="V25" s="17" t="e">
        <f t="shared" si="5"/>
        <v>#DIV/0!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 t="s">
        <v>62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37</v>
      </c>
      <c r="C26" s="1">
        <v>96.75</v>
      </c>
      <c r="D26" s="1"/>
      <c r="E26" s="1">
        <v>59.795000000000002</v>
      </c>
      <c r="F26" s="1"/>
      <c r="G26" s="7">
        <v>1</v>
      </c>
      <c r="H26" s="1">
        <v>30</v>
      </c>
      <c r="I26" s="1" t="s">
        <v>38</v>
      </c>
      <c r="J26" s="1">
        <v>80.126999999999995</v>
      </c>
      <c r="K26" s="1">
        <f t="shared" si="2"/>
        <v>-20.331999999999994</v>
      </c>
      <c r="L26" s="1"/>
      <c r="M26" s="1"/>
      <c r="N26" s="1">
        <v>106.551</v>
      </c>
      <c r="O26" s="1">
        <v>54.481399999999987</v>
      </c>
      <c r="P26" s="1">
        <f t="shared" si="3"/>
        <v>11.959</v>
      </c>
      <c r="Q26" s="5">
        <v>40</v>
      </c>
      <c r="R26" s="5">
        <f t="shared" si="9"/>
        <v>40</v>
      </c>
      <c r="S26" s="5"/>
      <c r="T26" s="1"/>
      <c r="U26" s="1">
        <f t="shared" si="4"/>
        <v>16.810134626641023</v>
      </c>
      <c r="V26" s="1">
        <f t="shared" si="5"/>
        <v>13.465373358976503</v>
      </c>
      <c r="W26" s="1">
        <v>18.962399999999999</v>
      </c>
      <c r="X26" s="1">
        <v>17.425000000000001</v>
      </c>
      <c r="Y26" s="1">
        <v>9.1257999999999999</v>
      </c>
      <c r="Z26" s="1">
        <v>9.4163999999999994</v>
      </c>
      <c r="AA26" s="1">
        <v>14.6172</v>
      </c>
      <c r="AB26" s="1">
        <v>14.907</v>
      </c>
      <c r="AC26" s="1">
        <v>15.1394</v>
      </c>
      <c r="AD26" s="1">
        <v>16.1248</v>
      </c>
      <c r="AE26" s="1">
        <v>14.829599999999999</v>
      </c>
      <c r="AF26" s="1">
        <v>14.110200000000001</v>
      </c>
      <c r="AG26" s="1"/>
      <c r="AH26" s="1">
        <f t="shared" si="6"/>
        <v>40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/>
      <c r="D27" s="1">
        <v>95.846999999999994</v>
      </c>
      <c r="E27" s="1">
        <v>88.459000000000003</v>
      </c>
      <c r="F27" s="1"/>
      <c r="G27" s="7">
        <v>1</v>
      </c>
      <c r="H27" s="1">
        <v>30</v>
      </c>
      <c r="I27" s="1" t="s">
        <v>38</v>
      </c>
      <c r="J27" s="1">
        <v>107.7</v>
      </c>
      <c r="K27" s="1">
        <f t="shared" si="2"/>
        <v>-19.241</v>
      </c>
      <c r="L27" s="1"/>
      <c r="M27" s="1"/>
      <c r="N27" s="1">
        <v>97.782000000000011</v>
      </c>
      <c r="O27" s="1"/>
      <c r="P27" s="1">
        <f t="shared" si="3"/>
        <v>17.691800000000001</v>
      </c>
      <c r="Q27" s="5">
        <f t="shared" ref="Q27" si="11">10.3*P27-O27-N27-F27</f>
        <v>84.443540000000013</v>
      </c>
      <c r="R27" s="5">
        <f t="shared" si="9"/>
        <v>84.443540000000013</v>
      </c>
      <c r="S27" s="5"/>
      <c r="T27" s="1"/>
      <c r="U27" s="1">
        <f t="shared" si="4"/>
        <v>10.3</v>
      </c>
      <c r="V27" s="1">
        <f t="shared" si="5"/>
        <v>5.5269672955832654</v>
      </c>
      <c r="W27" s="1">
        <v>16.110800000000001</v>
      </c>
      <c r="X27" s="1">
        <v>17.9984</v>
      </c>
      <c r="Y27" s="1">
        <v>15.916</v>
      </c>
      <c r="Z27" s="1">
        <v>15.156599999999999</v>
      </c>
      <c r="AA27" s="1">
        <v>11.641400000000001</v>
      </c>
      <c r="AB27" s="1">
        <v>11.7454</v>
      </c>
      <c r="AC27" s="1">
        <v>19.238</v>
      </c>
      <c r="AD27" s="1">
        <v>20.6892</v>
      </c>
      <c r="AE27" s="1">
        <v>20.765799999999999</v>
      </c>
      <c r="AF27" s="1">
        <v>18.851400000000002</v>
      </c>
      <c r="AG27" s="1"/>
      <c r="AH27" s="1">
        <f t="shared" si="6"/>
        <v>84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7" t="s">
        <v>65</v>
      </c>
      <c r="B28" s="17" t="s">
        <v>37</v>
      </c>
      <c r="C28" s="17">
        <v>8.1</v>
      </c>
      <c r="D28" s="17">
        <v>4.4999999999999998E-2</v>
      </c>
      <c r="E28" s="17">
        <v>8.1449999999999996</v>
      </c>
      <c r="F28" s="17"/>
      <c r="G28" s="18">
        <v>0</v>
      </c>
      <c r="H28" s="17">
        <v>45</v>
      </c>
      <c r="I28" s="17" t="s">
        <v>38</v>
      </c>
      <c r="J28" s="17">
        <v>11.9</v>
      </c>
      <c r="K28" s="17">
        <f t="shared" si="2"/>
        <v>-3.7550000000000008</v>
      </c>
      <c r="L28" s="17"/>
      <c r="M28" s="17"/>
      <c r="N28" s="17">
        <v>0</v>
      </c>
      <c r="O28" s="17"/>
      <c r="P28" s="17">
        <f t="shared" si="3"/>
        <v>1.629</v>
      </c>
      <c r="Q28" s="19"/>
      <c r="R28" s="5">
        <f t="shared" si="9"/>
        <v>0</v>
      </c>
      <c r="S28" s="19"/>
      <c r="T28" s="17"/>
      <c r="U28" s="1">
        <f t="shared" si="4"/>
        <v>0</v>
      </c>
      <c r="V28" s="17">
        <f t="shared" si="5"/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 t="s">
        <v>66</v>
      </c>
      <c r="AH28" s="1">
        <f t="shared" si="6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37</v>
      </c>
      <c r="C29" s="1">
        <v>27.343</v>
      </c>
      <c r="D29" s="1">
        <v>0.13700000000000001</v>
      </c>
      <c r="E29" s="1">
        <v>8.8030000000000008</v>
      </c>
      <c r="F29" s="1"/>
      <c r="G29" s="7">
        <v>1</v>
      </c>
      <c r="H29" s="1">
        <v>40</v>
      </c>
      <c r="I29" s="1" t="s">
        <v>38</v>
      </c>
      <c r="J29" s="1">
        <v>34.1</v>
      </c>
      <c r="K29" s="1">
        <f t="shared" si="2"/>
        <v>-25.297000000000001</v>
      </c>
      <c r="L29" s="1"/>
      <c r="M29" s="1"/>
      <c r="N29" s="1">
        <v>85.988200000000006</v>
      </c>
      <c r="O29" s="1">
        <v>21.080400000000012</v>
      </c>
      <c r="P29" s="1">
        <f t="shared" si="3"/>
        <v>1.7606000000000002</v>
      </c>
      <c r="Q29" s="5">
        <v>10</v>
      </c>
      <c r="R29" s="5">
        <f t="shared" si="9"/>
        <v>10</v>
      </c>
      <c r="S29" s="5"/>
      <c r="T29" s="1"/>
      <c r="U29" s="1">
        <f t="shared" si="4"/>
        <v>66.493581733499951</v>
      </c>
      <c r="V29" s="1">
        <f t="shared" si="5"/>
        <v>60.813699875042602</v>
      </c>
      <c r="W29" s="1">
        <v>10.909599999999999</v>
      </c>
      <c r="X29" s="1">
        <v>12.910399999999999</v>
      </c>
      <c r="Y29" s="1">
        <v>4.1392000000000007</v>
      </c>
      <c r="Z29" s="1">
        <v>3.7216</v>
      </c>
      <c r="AA29" s="1">
        <v>6.5962000000000014</v>
      </c>
      <c r="AB29" s="1">
        <v>5.2873999999999999</v>
      </c>
      <c r="AC29" s="1">
        <v>8.1159999999999997</v>
      </c>
      <c r="AD29" s="1">
        <v>7.5412000000000008</v>
      </c>
      <c r="AE29" s="1">
        <v>4.9391999999999996</v>
      </c>
      <c r="AF29" s="1">
        <v>4.95</v>
      </c>
      <c r="AG29" s="1"/>
      <c r="AH29" s="1">
        <f t="shared" si="6"/>
        <v>10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37</v>
      </c>
      <c r="C30" s="1">
        <v>11.244</v>
      </c>
      <c r="D30" s="1">
        <v>8.5619999999999994</v>
      </c>
      <c r="E30" s="1">
        <v>15.771000000000001</v>
      </c>
      <c r="F30" s="1">
        <v>1.3360000000000001</v>
      </c>
      <c r="G30" s="7">
        <v>1</v>
      </c>
      <c r="H30" s="1">
        <v>30</v>
      </c>
      <c r="I30" s="1" t="s">
        <v>38</v>
      </c>
      <c r="J30" s="1">
        <v>20</v>
      </c>
      <c r="K30" s="1">
        <f t="shared" si="2"/>
        <v>-4.2289999999999992</v>
      </c>
      <c r="L30" s="1"/>
      <c r="M30" s="1"/>
      <c r="N30" s="1">
        <v>0</v>
      </c>
      <c r="O30" s="1">
        <v>21.545400000000001</v>
      </c>
      <c r="P30" s="1">
        <f t="shared" si="3"/>
        <v>3.1542000000000003</v>
      </c>
      <c r="Q30" s="5">
        <f t="shared" ref="Q30:Q50" si="12">10.3*P30-O30-N30-F30</f>
        <v>9.6068600000000028</v>
      </c>
      <c r="R30" s="5">
        <f t="shared" si="9"/>
        <v>9.6068600000000028</v>
      </c>
      <c r="S30" s="5"/>
      <c r="T30" s="1"/>
      <c r="U30" s="1">
        <f t="shared" si="4"/>
        <v>10.3</v>
      </c>
      <c r="V30" s="1">
        <f t="shared" si="5"/>
        <v>7.2542641557288681</v>
      </c>
      <c r="W30" s="1">
        <v>2.6663999999999999</v>
      </c>
      <c r="X30" s="1">
        <v>0.97460000000000002</v>
      </c>
      <c r="Y30" s="1">
        <v>-1.3874</v>
      </c>
      <c r="Z30" s="1">
        <v>0.50780000000000003</v>
      </c>
      <c r="AA30" s="1">
        <v>-0.02</v>
      </c>
      <c r="AB30" s="1">
        <v>-1.9152</v>
      </c>
      <c r="AC30" s="1">
        <v>2.7717999999999998</v>
      </c>
      <c r="AD30" s="1">
        <v>3.3184</v>
      </c>
      <c r="AE30" s="1">
        <v>4.7368000000000006</v>
      </c>
      <c r="AF30" s="1">
        <v>4.7302</v>
      </c>
      <c r="AG30" s="1" t="s">
        <v>69</v>
      </c>
      <c r="AH30" s="1">
        <f t="shared" si="6"/>
        <v>10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37</v>
      </c>
      <c r="C31" s="1">
        <v>107.06399999999999</v>
      </c>
      <c r="D31" s="1">
        <v>0.315</v>
      </c>
      <c r="E31" s="1">
        <v>96.534000000000006</v>
      </c>
      <c r="F31" s="1"/>
      <c r="G31" s="7">
        <v>1</v>
      </c>
      <c r="H31" s="1">
        <v>50</v>
      </c>
      <c r="I31" s="1" t="s">
        <v>38</v>
      </c>
      <c r="J31" s="1">
        <v>99.3</v>
      </c>
      <c r="K31" s="1">
        <f t="shared" si="2"/>
        <v>-2.7659999999999911</v>
      </c>
      <c r="L31" s="1"/>
      <c r="M31" s="1"/>
      <c r="N31" s="1">
        <v>89.63900000000001</v>
      </c>
      <c r="O31" s="1">
        <v>30.115799999999979</v>
      </c>
      <c r="P31" s="1">
        <f t="shared" si="3"/>
        <v>19.306800000000003</v>
      </c>
      <c r="Q31" s="5">
        <f t="shared" si="12"/>
        <v>79.105240000000066</v>
      </c>
      <c r="R31" s="5">
        <f t="shared" si="9"/>
        <v>79.105240000000066</v>
      </c>
      <c r="S31" s="5"/>
      <c r="T31" s="1"/>
      <c r="U31" s="1">
        <f t="shared" si="4"/>
        <v>10.3</v>
      </c>
      <c r="V31" s="1">
        <f t="shared" si="5"/>
        <v>6.202726500507592</v>
      </c>
      <c r="W31" s="1">
        <v>19.137799999999999</v>
      </c>
      <c r="X31" s="1">
        <v>19.3108</v>
      </c>
      <c r="Y31" s="1">
        <v>17.198599999999999</v>
      </c>
      <c r="Z31" s="1">
        <v>19.206199999999999</v>
      </c>
      <c r="AA31" s="1">
        <v>24.776199999999999</v>
      </c>
      <c r="AB31" s="1">
        <v>21.880800000000001</v>
      </c>
      <c r="AC31" s="1">
        <v>22.647200000000002</v>
      </c>
      <c r="AD31" s="1">
        <v>24.7896</v>
      </c>
      <c r="AE31" s="1">
        <v>17.421399999999998</v>
      </c>
      <c r="AF31" s="1">
        <v>13.6286</v>
      </c>
      <c r="AG31" s="1"/>
      <c r="AH31" s="1">
        <f t="shared" si="6"/>
        <v>79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37</v>
      </c>
      <c r="C32" s="1">
        <v>43.095999999999997</v>
      </c>
      <c r="D32" s="1">
        <v>55.65</v>
      </c>
      <c r="E32" s="1">
        <v>48.954000000000001</v>
      </c>
      <c r="F32" s="1">
        <v>42.463000000000001</v>
      </c>
      <c r="G32" s="7">
        <v>1</v>
      </c>
      <c r="H32" s="1">
        <v>50</v>
      </c>
      <c r="I32" s="1" t="s">
        <v>38</v>
      </c>
      <c r="J32" s="1">
        <v>44.9</v>
      </c>
      <c r="K32" s="1">
        <f t="shared" si="2"/>
        <v>4.054000000000002</v>
      </c>
      <c r="L32" s="1"/>
      <c r="M32" s="1"/>
      <c r="N32" s="1">
        <v>14.61200000000003</v>
      </c>
      <c r="O32" s="1"/>
      <c r="P32" s="1">
        <f t="shared" si="3"/>
        <v>9.7908000000000008</v>
      </c>
      <c r="Q32" s="5">
        <f t="shared" si="12"/>
        <v>43.770239999999994</v>
      </c>
      <c r="R32" s="5">
        <f t="shared" si="9"/>
        <v>43.770239999999994</v>
      </c>
      <c r="S32" s="5"/>
      <c r="T32" s="1"/>
      <c r="U32" s="1">
        <f t="shared" si="4"/>
        <v>10.3</v>
      </c>
      <c r="V32" s="1">
        <f t="shared" si="5"/>
        <v>5.8294521387424956</v>
      </c>
      <c r="W32" s="1">
        <v>9.1096000000000004</v>
      </c>
      <c r="X32" s="1">
        <v>10.4512</v>
      </c>
      <c r="Y32" s="1">
        <v>11.8658</v>
      </c>
      <c r="Z32" s="1">
        <v>9.9860000000000007</v>
      </c>
      <c r="AA32" s="1">
        <v>12.8728</v>
      </c>
      <c r="AB32" s="1">
        <v>14.1358</v>
      </c>
      <c r="AC32" s="1">
        <v>13.7418</v>
      </c>
      <c r="AD32" s="1">
        <v>13.561199999999999</v>
      </c>
      <c r="AE32" s="1">
        <v>9.5424000000000007</v>
      </c>
      <c r="AF32" s="1">
        <v>7.5175999999999998</v>
      </c>
      <c r="AG32" s="1"/>
      <c r="AH32" s="1">
        <f t="shared" si="6"/>
        <v>44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43</v>
      </c>
      <c r="C33" s="1">
        <v>191</v>
      </c>
      <c r="D33" s="1">
        <v>366</v>
      </c>
      <c r="E33" s="1">
        <v>392</v>
      </c>
      <c r="F33" s="1">
        <v>74</v>
      </c>
      <c r="G33" s="7">
        <v>0.4</v>
      </c>
      <c r="H33" s="1">
        <v>45</v>
      </c>
      <c r="I33" s="1" t="s">
        <v>38</v>
      </c>
      <c r="J33" s="1">
        <v>397</v>
      </c>
      <c r="K33" s="1">
        <f t="shared" si="2"/>
        <v>-5</v>
      </c>
      <c r="L33" s="1"/>
      <c r="M33" s="1"/>
      <c r="N33" s="1">
        <v>300.59999999999991</v>
      </c>
      <c r="O33" s="1">
        <v>32.200000000000159</v>
      </c>
      <c r="P33" s="1">
        <f t="shared" si="3"/>
        <v>78.400000000000006</v>
      </c>
      <c r="Q33" s="5">
        <f t="shared" si="12"/>
        <v>400.72</v>
      </c>
      <c r="R33" s="24">
        <f>Q33+P33</f>
        <v>479.12</v>
      </c>
      <c r="S33" s="5"/>
      <c r="T33" s="1"/>
      <c r="U33" s="1">
        <f t="shared" si="4"/>
        <v>11.3</v>
      </c>
      <c r="V33" s="1">
        <f t="shared" si="5"/>
        <v>5.1887755102040822</v>
      </c>
      <c r="W33" s="1">
        <v>68.400000000000006</v>
      </c>
      <c r="X33" s="1">
        <v>76.599999999999994</v>
      </c>
      <c r="Y33" s="1">
        <v>77.2</v>
      </c>
      <c r="Z33" s="1">
        <v>70.599999999999994</v>
      </c>
      <c r="AA33" s="1">
        <v>67.599999999999994</v>
      </c>
      <c r="AB33" s="1">
        <v>67.2</v>
      </c>
      <c r="AC33" s="1">
        <v>61.4</v>
      </c>
      <c r="AD33" s="1">
        <v>60</v>
      </c>
      <c r="AE33" s="1">
        <v>63</v>
      </c>
      <c r="AF33" s="1">
        <v>60</v>
      </c>
      <c r="AG33" s="1"/>
      <c r="AH33" s="1">
        <f t="shared" si="6"/>
        <v>192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43</v>
      </c>
      <c r="C34" s="1">
        <v>105</v>
      </c>
      <c r="D34" s="1">
        <v>73</v>
      </c>
      <c r="E34" s="1">
        <v>65</v>
      </c>
      <c r="F34" s="1">
        <v>92</v>
      </c>
      <c r="G34" s="7">
        <v>0.45</v>
      </c>
      <c r="H34" s="1">
        <v>50</v>
      </c>
      <c r="I34" s="1" t="s">
        <v>38</v>
      </c>
      <c r="J34" s="1">
        <v>70</v>
      </c>
      <c r="K34" s="1">
        <f t="shared" si="2"/>
        <v>-5</v>
      </c>
      <c r="L34" s="1"/>
      <c r="M34" s="1"/>
      <c r="N34" s="1">
        <v>0</v>
      </c>
      <c r="O34" s="1"/>
      <c r="P34" s="1">
        <f t="shared" si="3"/>
        <v>13</v>
      </c>
      <c r="Q34" s="5">
        <f t="shared" si="12"/>
        <v>41.900000000000006</v>
      </c>
      <c r="R34" s="5">
        <f t="shared" si="9"/>
        <v>41.900000000000006</v>
      </c>
      <c r="S34" s="5"/>
      <c r="T34" s="1"/>
      <c r="U34" s="1">
        <f t="shared" si="4"/>
        <v>10.3</v>
      </c>
      <c r="V34" s="1">
        <f t="shared" si="5"/>
        <v>7.0769230769230766</v>
      </c>
      <c r="W34" s="1">
        <v>12</v>
      </c>
      <c r="X34" s="1">
        <v>12.8</v>
      </c>
      <c r="Y34" s="1">
        <v>19</v>
      </c>
      <c r="Z34" s="1">
        <v>21.6</v>
      </c>
      <c r="AA34" s="1">
        <v>21</v>
      </c>
      <c r="AB34" s="1">
        <v>18.8</v>
      </c>
      <c r="AC34" s="1">
        <v>22</v>
      </c>
      <c r="AD34" s="1">
        <v>21.8</v>
      </c>
      <c r="AE34" s="1">
        <v>19.600000000000001</v>
      </c>
      <c r="AF34" s="1">
        <v>14.8</v>
      </c>
      <c r="AG34" s="1"/>
      <c r="AH34" s="1">
        <f t="shared" si="6"/>
        <v>19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43</v>
      </c>
      <c r="C35" s="1">
        <v>364</v>
      </c>
      <c r="D35" s="1">
        <v>198</v>
      </c>
      <c r="E35" s="1">
        <v>348</v>
      </c>
      <c r="F35" s="1">
        <v>130</v>
      </c>
      <c r="G35" s="7">
        <v>0.4</v>
      </c>
      <c r="H35" s="1">
        <v>45</v>
      </c>
      <c r="I35" s="1" t="s">
        <v>38</v>
      </c>
      <c r="J35" s="1">
        <v>349</v>
      </c>
      <c r="K35" s="1">
        <f t="shared" si="2"/>
        <v>-1</v>
      </c>
      <c r="L35" s="1"/>
      <c r="M35" s="1"/>
      <c r="N35" s="1">
        <v>235.59999999999991</v>
      </c>
      <c r="O35" s="1">
        <v>110.9000000000002</v>
      </c>
      <c r="P35" s="1">
        <f t="shared" si="3"/>
        <v>69.599999999999994</v>
      </c>
      <c r="Q35" s="5">
        <f t="shared" si="12"/>
        <v>240.37999999999988</v>
      </c>
      <c r="R35" s="24">
        <f>Q35+P35</f>
        <v>309.9799999999999</v>
      </c>
      <c r="S35" s="5"/>
      <c r="T35" s="1"/>
      <c r="U35" s="1">
        <f t="shared" si="4"/>
        <v>11.3</v>
      </c>
      <c r="V35" s="1">
        <f t="shared" si="5"/>
        <v>6.8462643678160937</v>
      </c>
      <c r="W35" s="1">
        <v>70.400000000000006</v>
      </c>
      <c r="X35" s="1">
        <v>70.8</v>
      </c>
      <c r="Y35" s="1">
        <v>66</v>
      </c>
      <c r="Z35" s="1">
        <v>70</v>
      </c>
      <c r="AA35" s="1">
        <v>76.599999999999994</v>
      </c>
      <c r="AB35" s="1">
        <v>71.400000000000006</v>
      </c>
      <c r="AC35" s="1">
        <v>65</v>
      </c>
      <c r="AD35" s="1">
        <v>68.2</v>
      </c>
      <c r="AE35" s="1">
        <v>72.599999999999994</v>
      </c>
      <c r="AF35" s="1">
        <v>68.599999999999994</v>
      </c>
      <c r="AG35" s="1"/>
      <c r="AH35" s="1">
        <f t="shared" si="6"/>
        <v>124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37</v>
      </c>
      <c r="C36" s="1">
        <v>31.577999999999999</v>
      </c>
      <c r="D36" s="1"/>
      <c r="E36" s="1">
        <v>16.744</v>
      </c>
      <c r="F36" s="1">
        <v>11.295999999999999</v>
      </c>
      <c r="G36" s="7">
        <v>1</v>
      </c>
      <c r="H36" s="1">
        <v>45</v>
      </c>
      <c r="I36" s="1" t="s">
        <v>38</v>
      </c>
      <c r="J36" s="1">
        <v>15.6</v>
      </c>
      <c r="K36" s="1">
        <f t="shared" si="2"/>
        <v>1.1440000000000001</v>
      </c>
      <c r="L36" s="1"/>
      <c r="M36" s="1"/>
      <c r="N36" s="1">
        <v>23.952000000000002</v>
      </c>
      <c r="O36" s="1">
        <v>9.1499999999999986</v>
      </c>
      <c r="P36" s="1">
        <f t="shared" si="3"/>
        <v>3.3487999999999998</v>
      </c>
      <c r="Q36" s="5"/>
      <c r="R36" s="5">
        <f t="shared" si="9"/>
        <v>0</v>
      </c>
      <c r="S36" s="5"/>
      <c r="T36" s="1"/>
      <c r="U36" s="1">
        <f t="shared" si="4"/>
        <v>13.257883420926902</v>
      </c>
      <c r="V36" s="1">
        <f t="shared" si="5"/>
        <v>13.257883420926902</v>
      </c>
      <c r="W36" s="1">
        <v>5.1319999999999997</v>
      </c>
      <c r="X36" s="1">
        <v>5.2496</v>
      </c>
      <c r="Y36" s="1">
        <v>4.2872000000000003</v>
      </c>
      <c r="Z36" s="1">
        <v>5.3887999999999998</v>
      </c>
      <c r="AA36" s="1">
        <v>5.3932000000000002</v>
      </c>
      <c r="AB36" s="1">
        <v>4.8428000000000004</v>
      </c>
      <c r="AC36" s="1">
        <v>7.2876000000000003</v>
      </c>
      <c r="AD36" s="1">
        <v>8.3675999999999995</v>
      </c>
      <c r="AE36" s="1">
        <v>7.258799999999999</v>
      </c>
      <c r="AF36" s="1">
        <v>6.7260000000000009</v>
      </c>
      <c r="AG36" s="1"/>
      <c r="AH36" s="1">
        <f t="shared" si="6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43</v>
      </c>
      <c r="C37" s="1">
        <v>29</v>
      </c>
      <c r="D37" s="1">
        <v>28</v>
      </c>
      <c r="E37" s="1">
        <v>37</v>
      </c>
      <c r="F37" s="1">
        <v>4</v>
      </c>
      <c r="G37" s="7">
        <v>0.45</v>
      </c>
      <c r="H37" s="1">
        <v>45</v>
      </c>
      <c r="I37" s="1" t="s">
        <v>38</v>
      </c>
      <c r="J37" s="1">
        <v>37</v>
      </c>
      <c r="K37" s="1">
        <f t="shared" si="2"/>
        <v>0</v>
      </c>
      <c r="L37" s="1"/>
      <c r="M37" s="1"/>
      <c r="N37" s="1">
        <v>25.2</v>
      </c>
      <c r="O37" s="1">
        <v>30.8</v>
      </c>
      <c r="P37" s="1">
        <f t="shared" si="3"/>
        <v>7.4</v>
      </c>
      <c r="Q37" s="5">
        <f t="shared" si="12"/>
        <v>16.220000000000017</v>
      </c>
      <c r="R37" s="5">
        <f t="shared" si="9"/>
        <v>16.220000000000017</v>
      </c>
      <c r="S37" s="5"/>
      <c r="T37" s="1"/>
      <c r="U37" s="1">
        <f t="shared" si="4"/>
        <v>10.3</v>
      </c>
      <c r="V37" s="1">
        <f t="shared" si="5"/>
        <v>8.108108108108107</v>
      </c>
      <c r="W37" s="1">
        <v>8</v>
      </c>
      <c r="X37" s="1">
        <v>6.2</v>
      </c>
      <c r="Y37" s="1">
        <v>4.4000000000000004</v>
      </c>
      <c r="Z37" s="1">
        <v>6.6</v>
      </c>
      <c r="AA37" s="1">
        <v>6.2</v>
      </c>
      <c r="AB37" s="1">
        <v>5.2</v>
      </c>
      <c r="AC37" s="1">
        <v>4.2</v>
      </c>
      <c r="AD37" s="1">
        <v>5.6</v>
      </c>
      <c r="AE37" s="1">
        <v>7</v>
      </c>
      <c r="AF37" s="1">
        <v>5.4</v>
      </c>
      <c r="AG37" s="1"/>
      <c r="AH37" s="1">
        <f t="shared" si="6"/>
        <v>7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43</v>
      </c>
      <c r="C38" s="1"/>
      <c r="D38" s="1">
        <v>120</v>
      </c>
      <c r="E38" s="1">
        <v>114</v>
      </c>
      <c r="F38" s="1">
        <v>3</v>
      </c>
      <c r="G38" s="7">
        <v>0.35</v>
      </c>
      <c r="H38" s="1">
        <v>40</v>
      </c>
      <c r="I38" s="1" t="s">
        <v>38</v>
      </c>
      <c r="J38" s="1">
        <v>115</v>
      </c>
      <c r="K38" s="1">
        <f t="shared" ref="K38:K69" si="13">E38-J38</f>
        <v>-1</v>
      </c>
      <c r="L38" s="1"/>
      <c r="M38" s="1"/>
      <c r="N38" s="1">
        <v>0</v>
      </c>
      <c r="O38" s="1"/>
      <c r="P38" s="1">
        <f t="shared" si="3"/>
        <v>22.8</v>
      </c>
      <c r="Q38" s="5">
        <f>8*P38-O38-N38-F38</f>
        <v>179.4</v>
      </c>
      <c r="R38" s="5">
        <f>S38</f>
        <v>250</v>
      </c>
      <c r="S38" s="24">
        <v>250</v>
      </c>
      <c r="T38" s="25" t="s">
        <v>158</v>
      </c>
      <c r="U38" s="1">
        <f t="shared" si="4"/>
        <v>11.096491228070175</v>
      </c>
      <c r="V38" s="1">
        <f t="shared" si="5"/>
        <v>0.13157894736842105</v>
      </c>
      <c r="W38" s="1">
        <v>6.6</v>
      </c>
      <c r="X38" s="1">
        <v>11</v>
      </c>
      <c r="Y38" s="1">
        <v>13.6</v>
      </c>
      <c r="Z38" s="1">
        <v>11.6</v>
      </c>
      <c r="AA38" s="1">
        <v>8.8000000000000007</v>
      </c>
      <c r="AB38" s="1">
        <v>10.8</v>
      </c>
      <c r="AC38" s="1">
        <v>11</v>
      </c>
      <c r="AD38" s="1">
        <v>7.8</v>
      </c>
      <c r="AE38" s="1">
        <v>8.1999999999999993</v>
      </c>
      <c r="AF38" s="1">
        <v>10.8</v>
      </c>
      <c r="AG38" s="1" t="s">
        <v>58</v>
      </c>
      <c r="AH38" s="1">
        <f t="shared" si="6"/>
        <v>88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37</v>
      </c>
      <c r="C39" s="1">
        <v>37.286000000000001</v>
      </c>
      <c r="D39" s="1">
        <v>60.884</v>
      </c>
      <c r="E39" s="1">
        <v>71.683999999999997</v>
      </c>
      <c r="F39" s="1"/>
      <c r="G39" s="7">
        <v>1</v>
      </c>
      <c r="H39" s="1">
        <v>40</v>
      </c>
      <c r="I39" s="1" t="s">
        <v>38</v>
      </c>
      <c r="J39" s="1">
        <v>89.48</v>
      </c>
      <c r="K39" s="1">
        <f t="shared" si="13"/>
        <v>-17.796000000000006</v>
      </c>
      <c r="L39" s="1"/>
      <c r="M39" s="1"/>
      <c r="N39" s="1">
        <v>127.5012000000001</v>
      </c>
      <c r="O39" s="1">
        <v>83.005999999999972</v>
      </c>
      <c r="P39" s="1">
        <f t="shared" si="3"/>
        <v>14.3368</v>
      </c>
      <c r="Q39" s="5">
        <v>60</v>
      </c>
      <c r="R39" s="5">
        <f t="shared" si="9"/>
        <v>60</v>
      </c>
      <c r="S39" s="5"/>
      <c r="T39" s="1"/>
      <c r="U39" s="1">
        <f t="shared" si="4"/>
        <v>18.868031917861732</v>
      </c>
      <c r="V39" s="1">
        <f t="shared" si="5"/>
        <v>14.682997600580329</v>
      </c>
      <c r="W39" s="1">
        <v>24.102399999999999</v>
      </c>
      <c r="X39" s="1">
        <v>22.52</v>
      </c>
      <c r="Y39" s="1">
        <v>17.953399999999998</v>
      </c>
      <c r="Z39" s="1">
        <v>18.355599999999999</v>
      </c>
      <c r="AA39" s="1">
        <v>19.347200000000001</v>
      </c>
      <c r="AB39" s="1">
        <v>19.656400000000001</v>
      </c>
      <c r="AC39" s="1">
        <v>16.841200000000001</v>
      </c>
      <c r="AD39" s="1">
        <v>16.2272</v>
      </c>
      <c r="AE39" s="1">
        <v>17.539200000000001</v>
      </c>
      <c r="AF39" s="1">
        <v>17.365400000000001</v>
      </c>
      <c r="AG39" s="1"/>
      <c r="AH39" s="1">
        <f t="shared" si="6"/>
        <v>60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43</v>
      </c>
      <c r="C40" s="1">
        <v>5</v>
      </c>
      <c r="D40" s="1">
        <v>67</v>
      </c>
      <c r="E40" s="1">
        <v>48</v>
      </c>
      <c r="F40" s="1"/>
      <c r="G40" s="7">
        <v>0.4</v>
      </c>
      <c r="H40" s="1">
        <v>40</v>
      </c>
      <c r="I40" s="1" t="s">
        <v>38</v>
      </c>
      <c r="J40" s="1">
        <v>101</v>
      </c>
      <c r="K40" s="1">
        <f t="shared" si="13"/>
        <v>-53</v>
      </c>
      <c r="L40" s="1"/>
      <c r="M40" s="1"/>
      <c r="N40" s="1">
        <v>25.199999999999989</v>
      </c>
      <c r="O40" s="1">
        <v>14</v>
      </c>
      <c r="P40" s="1">
        <f t="shared" si="3"/>
        <v>9.6</v>
      </c>
      <c r="Q40" s="5">
        <f t="shared" si="12"/>
        <v>59.680000000000021</v>
      </c>
      <c r="R40" s="5">
        <f t="shared" si="9"/>
        <v>59.680000000000021</v>
      </c>
      <c r="S40" s="5"/>
      <c r="T40" s="1"/>
      <c r="U40" s="1">
        <f t="shared" si="4"/>
        <v>10.3</v>
      </c>
      <c r="V40" s="1">
        <f t="shared" si="5"/>
        <v>4.0833333333333321</v>
      </c>
      <c r="W40" s="1">
        <v>9.1999999999999993</v>
      </c>
      <c r="X40" s="1">
        <v>9</v>
      </c>
      <c r="Y40" s="1">
        <v>11.4</v>
      </c>
      <c r="Z40" s="1">
        <v>12.4</v>
      </c>
      <c r="AA40" s="1">
        <v>12</v>
      </c>
      <c r="AB40" s="1">
        <v>14</v>
      </c>
      <c r="AC40" s="1">
        <v>12.8</v>
      </c>
      <c r="AD40" s="1">
        <v>11</v>
      </c>
      <c r="AE40" s="1">
        <v>15</v>
      </c>
      <c r="AF40" s="1">
        <v>14.4</v>
      </c>
      <c r="AG40" s="1"/>
      <c r="AH40" s="1">
        <f t="shared" si="6"/>
        <v>24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43</v>
      </c>
      <c r="C41" s="1">
        <v>76</v>
      </c>
      <c r="D41" s="1">
        <v>78</v>
      </c>
      <c r="E41" s="1">
        <v>110</v>
      </c>
      <c r="F41" s="1">
        <v>15</v>
      </c>
      <c r="G41" s="7">
        <v>0.4</v>
      </c>
      <c r="H41" s="1">
        <v>45</v>
      </c>
      <c r="I41" s="1" t="s">
        <v>38</v>
      </c>
      <c r="J41" s="1">
        <v>112</v>
      </c>
      <c r="K41" s="1">
        <f t="shared" si="13"/>
        <v>-2</v>
      </c>
      <c r="L41" s="1"/>
      <c r="M41" s="1"/>
      <c r="N41" s="1">
        <v>83</v>
      </c>
      <c r="O41" s="1">
        <v>36.800000000000011</v>
      </c>
      <c r="P41" s="1">
        <f t="shared" si="3"/>
        <v>22</v>
      </c>
      <c r="Q41" s="5">
        <f>10*P41-O41-N41-F41</f>
        <v>85.199999999999989</v>
      </c>
      <c r="R41" s="24">
        <f>Q41+P41</f>
        <v>107.19999999999999</v>
      </c>
      <c r="S41" s="5"/>
      <c r="T41" s="1"/>
      <c r="U41" s="1">
        <f t="shared" si="4"/>
        <v>11</v>
      </c>
      <c r="V41" s="1">
        <f t="shared" si="5"/>
        <v>6.1272727272727279</v>
      </c>
      <c r="W41" s="1">
        <v>20.6</v>
      </c>
      <c r="X41" s="1">
        <v>20.6</v>
      </c>
      <c r="Y41" s="1">
        <v>21</v>
      </c>
      <c r="Z41" s="1">
        <v>19.600000000000001</v>
      </c>
      <c r="AA41" s="1">
        <v>18.8</v>
      </c>
      <c r="AB41" s="1">
        <v>23</v>
      </c>
      <c r="AC41" s="1">
        <v>20.6</v>
      </c>
      <c r="AD41" s="1">
        <v>15.2</v>
      </c>
      <c r="AE41" s="1">
        <v>17.399999999999999</v>
      </c>
      <c r="AF41" s="1">
        <v>17.600000000000001</v>
      </c>
      <c r="AG41" s="1" t="s">
        <v>81</v>
      </c>
      <c r="AH41" s="1">
        <f t="shared" si="6"/>
        <v>43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37</v>
      </c>
      <c r="C42" s="1">
        <v>147.35300000000001</v>
      </c>
      <c r="D42" s="1"/>
      <c r="E42" s="1">
        <v>88.366</v>
      </c>
      <c r="F42" s="1">
        <v>33.472000000000001</v>
      </c>
      <c r="G42" s="7">
        <v>1</v>
      </c>
      <c r="H42" s="1">
        <v>40</v>
      </c>
      <c r="I42" s="1" t="s">
        <v>38</v>
      </c>
      <c r="J42" s="1">
        <v>95.79</v>
      </c>
      <c r="K42" s="1">
        <f t="shared" si="13"/>
        <v>-7.4240000000000066</v>
      </c>
      <c r="L42" s="1"/>
      <c r="M42" s="1"/>
      <c r="N42" s="1">
        <v>90.050000000000011</v>
      </c>
      <c r="O42" s="1">
        <v>84.997400000000027</v>
      </c>
      <c r="P42" s="1">
        <f t="shared" si="3"/>
        <v>17.673200000000001</v>
      </c>
      <c r="Q42" s="5">
        <v>40</v>
      </c>
      <c r="R42" s="5">
        <f t="shared" si="9"/>
        <v>40</v>
      </c>
      <c r="S42" s="5"/>
      <c r="T42" s="1"/>
      <c r="U42" s="1">
        <f t="shared" si="4"/>
        <v>14.061935586085147</v>
      </c>
      <c r="V42" s="1">
        <f t="shared" si="5"/>
        <v>11.798621641807937</v>
      </c>
      <c r="W42" s="1">
        <v>25.401399999999999</v>
      </c>
      <c r="X42" s="1">
        <v>21.811599999999999</v>
      </c>
      <c r="Y42" s="1">
        <v>15.449400000000001</v>
      </c>
      <c r="Z42" s="1">
        <v>17.605399999999999</v>
      </c>
      <c r="AA42" s="1">
        <v>28.0486</v>
      </c>
      <c r="AB42" s="1">
        <v>29.026399999999999</v>
      </c>
      <c r="AC42" s="1">
        <v>19.398399999999999</v>
      </c>
      <c r="AD42" s="1">
        <v>18.274000000000001</v>
      </c>
      <c r="AE42" s="1">
        <v>21.985199999999999</v>
      </c>
      <c r="AF42" s="1">
        <v>21.826000000000001</v>
      </c>
      <c r="AG42" s="1"/>
      <c r="AH42" s="1">
        <f t="shared" si="6"/>
        <v>40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43</v>
      </c>
      <c r="C43" s="1">
        <v>67</v>
      </c>
      <c r="D43" s="1">
        <v>181</v>
      </c>
      <c r="E43" s="1">
        <v>169</v>
      </c>
      <c r="F43" s="1">
        <v>39</v>
      </c>
      <c r="G43" s="7">
        <v>0.35</v>
      </c>
      <c r="H43" s="1">
        <v>40</v>
      </c>
      <c r="I43" s="1" t="s">
        <v>38</v>
      </c>
      <c r="J43" s="1">
        <v>172</v>
      </c>
      <c r="K43" s="1">
        <f t="shared" si="13"/>
        <v>-3</v>
      </c>
      <c r="L43" s="1"/>
      <c r="M43" s="1"/>
      <c r="N43" s="1">
        <v>61</v>
      </c>
      <c r="O43" s="1">
        <v>76</v>
      </c>
      <c r="P43" s="1">
        <f t="shared" si="3"/>
        <v>33.799999999999997</v>
      </c>
      <c r="Q43" s="5">
        <f t="shared" si="12"/>
        <v>172.14</v>
      </c>
      <c r="R43" s="5">
        <f t="shared" ref="R43:R44" si="14">S43</f>
        <v>250</v>
      </c>
      <c r="S43" s="24">
        <v>250</v>
      </c>
      <c r="T43" s="25" t="s">
        <v>158</v>
      </c>
      <c r="U43" s="1">
        <f t="shared" si="4"/>
        <v>12.603550295857989</v>
      </c>
      <c r="V43" s="1">
        <f t="shared" si="5"/>
        <v>5.2071005917159772</v>
      </c>
      <c r="W43" s="1">
        <v>27</v>
      </c>
      <c r="X43" s="1">
        <v>25</v>
      </c>
      <c r="Y43" s="1">
        <v>19.600000000000001</v>
      </c>
      <c r="Z43" s="1">
        <v>19</v>
      </c>
      <c r="AA43" s="1">
        <v>13.8</v>
      </c>
      <c r="AB43" s="1">
        <v>14.4</v>
      </c>
      <c r="AC43" s="1">
        <v>14.8</v>
      </c>
      <c r="AD43" s="1">
        <v>13.6</v>
      </c>
      <c r="AE43" s="1">
        <v>11</v>
      </c>
      <c r="AF43" s="1">
        <v>10.8</v>
      </c>
      <c r="AG43" s="1" t="s">
        <v>58</v>
      </c>
      <c r="AH43" s="1">
        <f t="shared" si="6"/>
        <v>88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0" t="s">
        <v>84</v>
      </c>
      <c r="B44" s="1" t="s">
        <v>43</v>
      </c>
      <c r="C44" s="1"/>
      <c r="D44" s="1"/>
      <c r="E44" s="1">
        <v>-8</v>
      </c>
      <c r="F44" s="1"/>
      <c r="G44" s="7">
        <v>0.4</v>
      </c>
      <c r="H44" s="1">
        <v>40</v>
      </c>
      <c r="I44" s="1" t="s">
        <v>38</v>
      </c>
      <c r="J44" s="1">
        <v>46</v>
      </c>
      <c r="K44" s="1">
        <f t="shared" si="13"/>
        <v>-54</v>
      </c>
      <c r="L44" s="1"/>
      <c r="M44" s="1"/>
      <c r="N44" s="1">
        <v>100</v>
      </c>
      <c r="O44" s="1"/>
      <c r="P44" s="1">
        <f t="shared" si="3"/>
        <v>-1.6</v>
      </c>
      <c r="Q44" s="21">
        <v>200</v>
      </c>
      <c r="R44" s="5">
        <f t="shared" si="14"/>
        <v>400</v>
      </c>
      <c r="S44" s="24">
        <v>400</v>
      </c>
      <c r="T44" s="25" t="s">
        <v>157</v>
      </c>
      <c r="U44" s="1">
        <f t="shared" si="4"/>
        <v>-312.5</v>
      </c>
      <c r="V44" s="1">
        <f t="shared" si="5"/>
        <v>-62.5</v>
      </c>
      <c r="W44" s="1">
        <v>-1</v>
      </c>
      <c r="X44" s="1">
        <v>2.4</v>
      </c>
      <c r="Y44" s="1">
        <v>44.4</v>
      </c>
      <c r="Z44" s="1">
        <v>52.6</v>
      </c>
      <c r="AA44" s="1">
        <v>58.8</v>
      </c>
      <c r="AB44" s="1">
        <v>55.6</v>
      </c>
      <c r="AC44" s="1">
        <v>46.8</v>
      </c>
      <c r="AD44" s="1">
        <v>47.2</v>
      </c>
      <c r="AE44" s="1">
        <v>50.8</v>
      </c>
      <c r="AF44" s="1">
        <v>42.2</v>
      </c>
      <c r="AG44" s="20" t="s">
        <v>85</v>
      </c>
      <c r="AH44" s="1">
        <f t="shared" si="6"/>
        <v>160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37</v>
      </c>
      <c r="C45" s="1">
        <v>40.457000000000001</v>
      </c>
      <c r="D45" s="1">
        <v>75.397000000000006</v>
      </c>
      <c r="E45" s="1">
        <v>35.622</v>
      </c>
      <c r="F45" s="1">
        <v>66.707999999999998</v>
      </c>
      <c r="G45" s="7">
        <v>1</v>
      </c>
      <c r="H45" s="1">
        <v>50</v>
      </c>
      <c r="I45" s="1" t="s">
        <v>38</v>
      </c>
      <c r="J45" s="1">
        <v>35.700000000000003</v>
      </c>
      <c r="K45" s="1">
        <f t="shared" si="13"/>
        <v>-7.8000000000002956E-2</v>
      </c>
      <c r="L45" s="1"/>
      <c r="M45" s="1"/>
      <c r="N45" s="1">
        <v>29.573799999999991</v>
      </c>
      <c r="O45" s="1"/>
      <c r="P45" s="1">
        <f t="shared" si="3"/>
        <v>7.1243999999999996</v>
      </c>
      <c r="Q45" s="5">
        <v>20</v>
      </c>
      <c r="R45" s="5">
        <f t="shared" si="9"/>
        <v>20</v>
      </c>
      <c r="S45" s="5"/>
      <c r="T45" s="1"/>
      <c r="U45" s="1">
        <f t="shared" si="4"/>
        <v>16.321627084386051</v>
      </c>
      <c r="V45" s="1">
        <f t="shared" si="5"/>
        <v>13.514373140194261</v>
      </c>
      <c r="W45" s="1">
        <v>11.3468</v>
      </c>
      <c r="X45" s="1">
        <v>12.422000000000001</v>
      </c>
      <c r="Y45" s="1">
        <v>12.632400000000001</v>
      </c>
      <c r="Z45" s="1">
        <v>12.6242</v>
      </c>
      <c r="AA45" s="1">
        <v>11.8062</v>
      </c>
      <c r="AB45" s="1">
        <v>12.616199999999999</v>
      </c>
      <c r="AC45" s="1">
        <v>15.1638</v>
      </c>
      <c r="AD45" s="1">
        <v>13.555199999999999</v>
      </c>
      <c r="AE45" s="1">
        <v>15.08</v>
      </c>
      <c r="AF45" s="1">
        <v>14.808400000000001</v>
      </c>
      <c r="AG45" s="1"/>
      <c r="AH45" s="1">
        <f t="shared" si="6"/>
        <v>20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37</v>
      </c>
      <c r="C46" s="1">
        <v>74.247</v>
      </c>
      <c r="D46" s="1">
        <v>98.012</v>
      </c>
      <c r="E46" s="1">
        <v>82.1</v>
      </c>
      <c r="F46" s="1">
        <v>70.183000000000007</v>
      </c>
      <c r="G46" s="7">
        <v>1</v>
      </c>
      <c r="H46" s="1">
        <v>50</v>
      </c>
      <c r="I46" s="1" t="s">
        <v>38</v>
      </c>
      <c r="J46" s="1">
        <v>82.2</v>
      </c>
      <c r="K46" s="1">
        <f t="shared" si="13"/>
        <v>-0.10000000000000853</v>
      </c>
      <c r="L46" s="1"/>
      <c r="M46" s="1"/>
      <c r="N46" s="1">
        <v>68.635199999999969</v>
      </c>
      <c r="O46" s="1"/>
      <c r="P46" s="1">
        <f t="shared" si="3"/>
        <v>16.419999999999998</v>
      </c>
      <c r="Q46" s="5">
        <f t="shared" si="12"/>
        <v>30.307800000000029</v>
      </c>
      <c r="R46" s="5">
        <f t="shared" si="9"/>
        <v>30.307800000000029</v>
      </c>
      <c r="S46" s="5"/>
      <c r="T46" s="1"/>
      <c r="U46" s="1">
        <f t="shared" si="4"/>
        <v>10.300000000000002</v>
      </c>
      <c r="V46" s="1">
        <f t="shared" si="5"/>
        <v>8.4542143727161996</v>
      </c>
      <c r="W46" s="1">
        <v>19.878799999999998</v>
      </c>
      <c r="X46" s="1">
        <v>21.7806</v>
      </c>
      <c r="Y46" s="1">
        <v>21.566600000000001</v>
      </c>
      <c r="Z46" s="1">
        <v>20.7332</v>
      </c>
      <c r="AA46" s="1">
        <v>22.585799999999999</v>
      </c>
      <c r="AB46" s="1">
        <v>25.446400000000001</v>
      </c>
      <c r="AC46" s="1">
        <v>20.695799999999998</v>
      </c>
      <c r="AD46" s="1">
        <v>19.206399999999999</v>
      </c>
      <c r="AE46" s="1">
        <v>24.273199999999999</v>
      </c>
      <c r="AF46" s="1">
        <v>22.414400000000001</v>
      </c>
      <c r="AG46" s="1"/>
      <c r="AH46" s="1">
        <f t="shared" si="6"/>
        <v>30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37</v>
      </c>
      <c r="C47" s="1">
        <v>-1.2689999999999999</v>
      </c>
      <c r="D47" s="1">
        <v>256.98399999999998</v>
      </c>
      <c r="E47" s="1">
        <v>121.63800000000001</v>
      </c>
      <c r="F47" s="1">
        <v>134.077</v>
      </c>
      <c r="G47" s="7">
        <v>1</v>
      </c>
      <c r="H47" s="1">
        <v>40</v>
      </c>
      <c r="I47" s="1" t="s">
        <v>89</v>
      </c>
      <c r="J47" s="1">
        <v>103.4</v>
      </c>
      <c r="K47" s="1">
        <f t="shared" si="13"/>
        <v>18.238</v>
      </c>
      <c r="L47" s="1"/>
      <c r="M47" s="1"/>
      <c r="N47" s="1">
        <v>0</v>
      </c>
      <c r="O47" s="1"/>
      <c r="P47" s="1">
        <f t="shared" si="3"/>
        <v>24.3276</v>
      </c>
      <c r="Q47" s="5">
        <f t="shared" si="12"/>
        <v>116.49728000000002</v>
      </c>
      <c r="R47" s="5">
        <f t="shared" si="9"/>
        <v>116.49728000000002</v>
      </c>
      <c r="S47" s="5"/>
      <c r="T47" s="1"/>
      <c r="U47" s="1">
        <f t="shared" si="4"/>
        <v>10.3</v>
      </c>
      <c r="V47" s="1">
        <f t="shared" si="5"/>
        <v>5.5113122543941859</v>
      </c>
      <c r="W47" s="1">
        <v>13.4206</v>
      </c>
      <c r="X47" s="1">
        <v>17.793199999999999</v>
      </c>
      <c r="Y47" s="1">
        <v>30.286000000000001</v>
      </c>
      <c r="Z47" s="1">
        <v>24.693999999999999</v>
      </c>
      <c r="AA47" s="1">
        <v>11.278600000000001</v>
      </c>
      <c r="AB47" s="1">
        <v>14.7248</v>
      </c>
      <c r="AC47" s="1">
        <v>19.381799999999998</v>
      </c>
      <c r="AD47" s="1">
        <v>18.5442</v>
      </c>
      <c r="AE47" s="1">
        <v>7.9565999999999999</v>
      </c>
      <c r="AF47" s="1">
        <v>7.1926000000000014</v>
      </c>
      <c r="AG47" s="1"/>
      <c r="AH47" s="1">
        <f t="shared" si="6"/>
        <v>116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43</v>
      </c>
      <c r="C48" s="1">
        <v>-1</v>
      </c>
      <c r="D48" s="1">
        <v>171</v>
      </c>
      <c r="E48" s="1">
        <v>61</v>
      </c>
      <c r="F48" s="1">
        <v>108</v>
      </c>
      <c r="G48" s="7">
        <v>0.45</v>
      </c>
      <c r="H48" s="1">
        <v>50</v>
      </c>
      <c r="I48" s="1" t="s">
        <v>38</v>
      </c>
      <c r="J48" s="1">
        <v>62</v>
      </c>
      <c r="K48" s="1">
        <f t="shared" si="13"/>
        <v>-1</v>
      </c>
      <c r="L48" s="1"/>
      <c r="M48" s="1"/>
      <c r="N48" s="1">
        <v>30</v>
      </c>
      <c r="O48" s="1"/>
      <c r="P48" s="1">
        <f t="shared" si="3"/>
        <v>12.2</v>
      </c>
      <c r="Q48" s="5">
        <v>10</v>
      </c>
      <c r="R48" s="5">
        <f t="shared" si="9"/>
        <v>10</v>
      </c>
      <c r="S48" s="5"/>
      <c r="T48" s="1"/>
      <c r="U48" s="1">
        <f t="shared" si="4"/>
        <v>12.131147540983607</v>
      </c>
      <c r="V48" s="1">
        <f t="shared" si="5"/>
        <v>11.311475409836067</v>
      </c>
      <c r="W48" s="1">
        <v>5.2</v>
      </c>
      <c r="X48" s="1">
        <v>6.6</v>
      </c>
      <c r="Y48" s="1">
        <v>19</v>
      </c>
      <c r="Z48" s="1">
        <v>20.6</v>
      </c>
      <c r="AA48" s="1">
        <v>11.2</v>
      </c>
      <c r="AB48" s="1">
        <v>10.4</v>
      </c>
      <c r="AC48" s="1">
        <v>16.399999999999999</v>
      </c>
      <c r="AD48" s="1">
        <v>13.6</v>
      </c>
      <c r="AE48" s="1">
        <v>4.8</v>
      </c>
      <c r="AF48" s="1">
        <v>6</v>
      </c>
      <c r="AG48" s="1"/>
      <c r="AH48" s="1">
        <f t="shared" si="6"/>
        <v>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20" t="s">
        <v>91</v>
      </c>
      <c r="B49" s="1" t="s">
        <v>37</v>
      </c>
      <c r="C49" s="1"/>
      <c r="D49" s="1"/>
      <c r="E49" s="1">
        <v>-1.5569999999999999</v>
      </c>
      <c r="F49" s="1"/>
      <c r="G49" s="7">
        <v>1</v>
      </c>
      <c r="H49" s="1">
        <v>40</v>
      </c>
      <c r="I49" s="1" t="s">
        <v>38</v>
      </c>
      <c r="J49" s="1"/>
      <c r="K49" s="1">
        <f t="shared" si="13"/>
        <v>-1.5569999999999999</v>
      </c>
      <c r="L49" s="1"/>
      <c r="M49" s="1"/>
      <c r="N49" s="1"/>
      <c r="O49" s="20"/>
      <c r="P49" s="1">
        <f t="shared" si="3"/>
        <v>-0.31140000000000001</v>
      </c>
      <c r="Q49" s="21">
        <v>4</v>
      </c>
      <c r="R49" s="5">
        <v>4</v>
      </c>
      <c r="S49" s="24">
        <v>40</v>
      </c>
      <c r="T49" s="25" t="s">
        <v>159</v>
      </c>
      <c r="U49" s="1">
        <f t="shared" si="4"/>
        <v>-12.845215157353886</v>
      </c>
      <c r="V49" s="1">
        <f t="shared" si="5"/>
        <v>0</v>
      </c>
      <c r="W49" s="1">
        <v>-0.26300000000000001</v>
      </c>
      <c r="X49" s="1">
        <v>-0.26300000000000001</v>
      </c>
      <c r="Y49" s="1">
        <v>0</v>
      </c>
      <c r="Z49" s="1">
        <v>0</v>
      </c>
      <c r="AA49" s="1">
        <v>1.8248</v>
      </c>
      <c r="AB49" s="1">
        <v>3.9188000000000001</v>
      </c>
      <c r="AC49" s="1">
        <v>6.5103999999999997</v>
      </c>
      <c r="AD49" s="1">
        <v>4.4164000000000003</v>
      </c>
      <c r="AE49" s="1">
        <v>1.5387999999999999</v>
      </c>
      <c r="AF49" s="1">
        <v>3.3576000000000001</v>
      </c>
      <c r="AG49" s="20" t="s">
        <v>92</v>
      </c>
      <c r="AH49" s="1">
        <f t="shared" si="6"/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43</v>
      </c>
      <c r="C50" s="1">
        <v>1</v>
      </c>
      <c r="D50" s="1">
        <v>144</v>
      </c>
      <c r="E50" s="1">
        <v>58</v>
      </c>
      <c r="F50" s="1">
        <v>81</v>
      </c>
      <c r="G50" s="7">
        <v>0.4</v>
      </c>
      <c r="H50" s="1">
        <v>40</v>
      </c>
      <c r="I50" s="1" t="s">
        <v>38</v>
      </c>
      <c r="J50" s="1">
        <v>63</v>
      </c>
      <c r="K50" s="1">
        <f t="shared" si="13"/>
        <v>-5</v>
      </c>
      <c r="L50" s="1"/>
      <c r="M50" s="1"/>
      <c r="N50" s="1">
        <v>0</v>
      </c>
      <c r="O50" s="1"/>
      <c r="P50" s="1">
        <f t="shared" si="3"/>
        <v>11.6</v>
      </c>
      <c r="Q50" s="5">
        <f t="shared" si="12"/>
        <v>38.480000000000004</v>
      </c>
      <c r="R50" s="5">
        <f t="shared" si="9"/>
        <v>38.480000000000004</v>
      </c>
      <c r="S50" s="5"/>
      <c r="T50" s="1"/>
      <c r="U50" s="1">
        <f t="shared" si="4"/>
        <v>10.3</v>
      </c>
      <c r="V50" s="1">
        <f t="shared" si="5"/>
        <v>6.9827586206896557</v>
      </c>
      <c r="W50" s="1">
        <v>0.8</v>
      </c>
      <c r="X50" s="1">
        <v>1.8</v>
      </c>
      <c r="Y50" s="1">
        <v>14.4</v>
      </c>
      <c r="Z50" s="1">
        <v>12.8</v>
      </c>
      <c r="AA50" s="1">
        <v>1.6</v>
      </c>
      <c r="AB50" s="1">
        <v>1.6</v>
      </c>
      <c r="AC50" s="1">
        <v>7.2</v>
      </c>
      <c r="AD50" s="1">
        <v>8</v>
      </c>
      <c r="AE50" s="1">
        <v>12.8</v>
      </c>
      <c r="AF50" s="1">
        <v>12</v>
      </c>
      <c r="AG50" s="1" t="s">
        <v>94</v>
      </c>
      <c r="AH50" s="1">
        <f t="shared" si="6"/>
        <v>15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43</v>
      </c>
      <c r="C51" s="1">
        <v>49</v>
      </c>
      <c r="D51" s="1">
        <v>78</v>
      </c>
      <c r="E51" s="1">
        <v>66</v>
      </c>
      <c r="F51" s="1">
        <v>12</v>
      </c>
      <c r="G51" s="7">
        <v>0.4</v>
      </c>
      <c r="H51" s="1">
        <v>40</v>
      </c>
      <c r="I51" s="1" t="s">
        <v>38</v>
      </c>
      <c r="J51" s="1">
        <v>67</v>
      </c>
      <c r="K51" s="1">
        <f t="shared" si="13"/>
        <v>-1</v>
      </c>
      <c r="L51" s="1"/>
      <c r="M51" s="1"/>
      <c r="N51" s="1">
        <v>0</v>
      </c>
      <c r="O51" s="1"/>
      <c r="P51" s="1">
        <f t="shared" si="3"/>
        <v>13.2</v>
      </c>
      <c r="Q51" s="5">
        <f>9*P51-O51-N51-F51</f>
        <v>106.8</v>
      </c>
      <c r="R51" s="5">
        <f t="shared" si="9"/>
        <v>106.8</v>
      </c>
      <c r="S51" s="5"/>
      <c r="T51" s="1"/>
      <c r="U51" s="1">
        <f t="shared" si="4"/>
        <v>9</v>
      </c>
      <c r="V51" s="1">
        <f t="shared" si="5"/>
        <v>0.90909090909090917</v>
      </c>
      <c r="W51" s="1">
        <v>0.6</v>
      </c>
      <c r="X51" s="1">
        <v>-0.2</v>
      </c>
      <c r="Y51" s="1">
        <v>7.2</v>
      </c>
      <c r="Z51" s="1">
        <v>7.4</v>
      </c>
      <c r="AA51" s="1">
        <v>1.2</v>
      </c>
      <c r="AB51" s="1">
        <v>1</v>
      </c>
      <c r="AC51" s="1">
        <v>4.4000000000000004</v>
      </c>
      <c r="AD51" s="1">
        <v>4.4000000000000004</v>
      </c>
      <c r="AE51" s="1">
        <v>4.4000000000000004</v>
      </c>
      <c r="AF51" s="1">
        <v>4.4000000000000004</v>
      </c>
      <c r="AG51" s="1"/>
      <c r="AH51" s="1">
        <f t="shared" si="6"/>
        <v>43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7" t="s">
        <v>96</v>
      </c>
      <c r="B52" s="17" t="s">
        <v>37</v>
      </c>
      <c r="C52" s="17">
        <v>32.573</v>
      </c>
      <c r="D52" s="17"/>
      <c r="E52" s="17">
        <v>24.422000000000001</v>
      </c>
      <c r="F52" s="17">
        <v>1.329</v>
      </c>
      <c r="G52" s="18">
        <v>0</v>
      </c>
      <c r="H52" s="17">
        <v>50</v>
      </c>
      <c r="I52" s="17" t="s">
        <v>38</v>
      </c>
      <c r="J52" s="17">
        <v>23.5</v>
      </c>
      <c r="K52" s="17">
        <f t="shared" si="13"/>
        <v>0.9220000000000006</v>
      </c>
      <c r="L52" s="17"/>
      <c r="M52" s="17"/>
      <c r="N52" s="17">
        <v>0</v>
      </c>
      <c r="O52" s="17"/>
      <c r="P52" s="17">
        <f t="shared" si="3"/>
        <v>4.8844000000000003</v>
      </c>
      <c r="Q52" s="19"/>
      <c r="R52" s="5">
        <f t="shared" si="9"/>
        <v>0</v>
      </c>
      <c r="S52" s="19"/>
      <c r="T52" s="17"/>
      <c r="U52" s="1">
        <f t="shared" si="4"/>
        <v>0.27209073785930715</v>
      </c>
      <c r="V52" s="17">
        <f t="shared" si="5"/>
        <v>0.27209073785930715</v>
      </c>
      <c r="W52" s="17">
        <v>3.8395999999999999</v>
      </c>
      <c r="X52" s="17">
        <v>3.5672000000000001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 t="s">
        <v>66</v>
      </c>
      <c r="AH52" s="1">
        <f t="shared" si="6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37</v>
      </c>
      <c r="C53" s="1">
        <v>93.269000000000005</v>
      </c>
      <c r="D53" s="1">
        <v>43.421999999999997</v>
      </c>
      <c r="E53" s="1">
        <v>77.378</v>
      </c>
      <c r="F53" s="1">
        <v>39.520000000000003</v>
      </c>
      <c r="G53" s="7">
        <v>1</v>
      </c>
      <c r="H53" s="1">
        <v>50</v>
      </c>
      <c r="I53" s="1" t="s">
        <v>38</v>
      </c>
      <c r="J53" s="1">
        <v>75.5</v>
      </c>
      <c r="K53" s="1">
        <f t="shared" si="13"/>
        <v>1.8780000000000001</v>
      </c>
      <c r="L53" s="1"/>
      <c r="M53" s="1"/>
      <c r="N53" s="1">
        <v>72.641599999999968</v>
      </c>
      <c r="O53" s="1">
        <v>35.584600000000023</v>
      </c>
      <c r="P53" s="1">
        <f t="shared" si="3"/>
        <v>15.4756</v>
      </c>
      <c r="Q53" s="5">
        <f t="shared" ref="Q53" si="15">10.3*P53-O53-N53-F53</f>
        <v>11.652480000000018</v>
      </c>
      <c r="R53" s="5">
        <f t="shared" si="9"/>
        <v>11.652480000000018</v>
      </c>
      <c r="S53" s="5"/>
      <c r="T53" s="1"/>
      <c r="U53" s="1">
        <f t="shared" si="4"/>
        <v>10.3</v>
      </c>
      <c r="V53" s="1">
        <f t="shared" si="5"/>
        <v>9.5470417948254021</v>
      </c>
      <c r="W53" s="1">
        <v>19.059000000000001</v>
      </c>
      <c r="X53" s="1">
        <v>18.545999999999999</v>
      </c>
      <c r="Y53" s="1">
        <v>17.23</v>
      </c>
      <c r="Z53" s="1">
        <v>17.767399999999999</v>
      </c>
      <c r="AA53" s="1">
        <v>20.4986</v>
      </c>
      <c r="AB53" s="1">
        <v>19.977</v>
      </c>
      <c r="AC53" s="1">
        <v>22.230799999999999</v>
      </c>
      <c r="AD53" s="1">
        <v>24.320799999999998</v>
      </c>
      <c r="AE53" s="1">
        <v>21.285599999999999</v>
      </c>
      <c r="AF53" s="1">
        <v>19.8704</v>
      </c>
      <c r="AG53" s="1"/>
      <c r="AH53" s="1">
        <f t="shared" si="6"/>
        <v>12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37</v>
      </c>
      <c r="C54" s="1">
        <v>21.619</v>
      </c>
      <c r="D54" s="1">
        <v>43.165999999999997</v>
      </c>
      <c r="E54" s="1">
        <v>30.379000000000001</v>
      </c>
      <c r="F54" s="1">
        <v>25.617000000000001</v>
      </c>
      <c r="G54" s="7">
        <v>1</v>
      </c>
      <c r="H54" s="1">
        <v>50</v>
      </c>
      <c r="I54" s="1" t="s">
        <v>38</v>
      </c>
      <c r="J54" s="1">
        <v>30.2</v>
      </c>
      <c r="K54" s="1">
        <f t="shared" si="13"/>
        <v>0.17900000000000205</v>
      </c>
      <c r="L54" s="1"/>
      <c r="M54" s="1"/>
      <c r="N54" s="1">
        <v>82.670999999999992</v>
      </c>
      <c r="O54" s="1">
        <v>9.0346000000000117</v>
      </c>
      <c r="P54" s="1">
        <f t="shared" si="3"/>
        <v>6.0758000000000001</v>
      </c>
      <c r="Q54" s="5">
        <v>10</v>
      </c>
      <c r="R54" s="5">
        <f t="shared" si="9"/>
        <v>10</v>
      </c>
      <c r="S54" s="5"/>
      <c r="T54" s="1"/>
      <c r="U54" s="1">
        <f t="shared" si="4"/>
        <v>20.955693077454821</v>
      </c>
      <c r="V54" s="1">
        <f t="shared" si="5"/>
        <v>19.309819283057376</v>
      </c>
      <c r="W54" s="1">
        <v>12.807600000000001</v>
      </c>
      <c r="X54" s="1">
        <v>13.478999999999999</v>
      </c>
      <c r="Y54" s="1">
        <v>8.6080000000000005</v>
      </c>
      <c r="Z54" s="1">
        <v>8.3287999999999993</v>
      </c>
      <c r="AA54" s="1">
        <v>8.8146000000000004</v>
      </c>
      <c r="AB54" s="1">
        <v>8.8406000000000002</v>
      </c>
      <c r="AC54" s="1">
        <v>10.1098</v>
      </c>
      <c r="AD54" s="1">
        <v>10.1076</v>
      </c>
      <c r="AE54" s="1">
        <v>10.522399999999999</v>
      </c>
      <c r="AF54" s="1">
        <v>9.7013999999999996</v>
      </c>
      <c r="AG54" s="1"/>
      <c r="AH54" s="1">
        <f t="shared" si="6"/>
        <v>10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3" t="s">
        <v>99</v>
      </c>
      <c r="B55" s="13" t="s">
        <v>43</v>
      </c>
      <c r="C55" s="13">
        <v>24</v>
      </c>
      <c r="D55" s="13"/>
      <c r="E55" s="13">
        <v>15</v>
      </c>
      <c r="F55" s="13"/>
      <c r="G55" s="14">
        <v>0</v>
      </c>
      <c r="H55" s="13" t="e">
        <v>#N/A</v>
      </c>
      <c r="I55" s="13" t="s">
        <v>100</v>
      </c>
      <c r="J55" s="13">
        <v>24</v>
      </c>
      <c r="K55" s="13">
        <f t="shared" si="13"/>
        <v>-9</v>
      </c>
      <c r="L55" s="13"/>
      <c r="M55" s="13"/>
      <c r="N55" s="13">
        <v>0</v>
      </c>
      <c r="O55" s="13"/>
      <c r="P55" s="13">
        <f t="shared" si="3"/>
        <v>3</v>
      </c>
      <c r="Q55" s="15"/>
      <c r="R55" s="5">
        <f t="shared" si="9"/>
        <v>0</v>
      </c>
      <c r="S55" s="15"/>
      <c r="T55" s="13"/>
      <c r="U55" s="1">
        <f t="shared" si="4"/>
        <v>0</v>
      </c>
      <c r="V55" s="13">
        <f t="shared" si="5"/>
        <v>0</v>
      </c>
      <c r="W55" s="13">
        <v>4.5999999999999996</v>
      </c>
      <c r="X55" s="13">
        <v>3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 t="s">
        <v>101</v>
      </c>
      <c r="AH55" s="1">
        <f t="shared" si="6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102</v>
      </c>
      <c r="B56" s="1" t="s">
        <v>43</v>
      </c>
      <c r="C56" s="1">
        <v>87</v>
      </c>
      <c r="D56" s="1">
        <v>20</v>
      </c>
      <c r="E56" s="1">
        <v>39</v>
      </c>
      <c r="F56" s="1">
        <v>63</v>
      </c>
      <c r="G56" s="7">
        <v>0.4</v>
      </c>
      <c r="H56" s="1">
        <v>50</v>
      </c>
      <c r="I56" s="1" t="s">
        <v>38</v>
      </c>
      <c r="J56" s="1">
        <v>41</v>
      </c>
      <c r="K56" s="1">
        <f t="shared" si="13"/>
        <v>-2</v>
      </c>
      <c r="L56" s="1"/>
      <c r="M56" s="1"/>
      <c r="N56" s="1">
        <v>0</v>
      </c>
      <c r="O56" s="1"/>
      <c r="P56" s="1">
        <f t="shared" si="3"/>
        <v>7.8</v>
      </c>
      <c r="Q56" s="5">
        <f t="shared" ref="Q56:Q61" si="16">10.3*P56-O56-N56-F56</f>
        <v>17.340000000000003</v>
      </c>
      <c r="R56" s="5">
        <f t="shared" si="9"/>
        <v>17.340000000000003</v>
      </c>
      <c r="S56" s="5"/>
      <c r="T56" s="1"/>
      <c r="U56" s="1">
        <f t="shared" si="4"/>
        <v>10.3</v>
      </c>
      <c r="V56" s="1">
        <f t="shared" si="5"/>
        <v>8.0769230769230766</v>
      </c>
      <c r="W56" s="1">
        <v>7.8</v>
      </c>
      <c r="X56" s="1">
        <v>8.4</v>
      </c>
      <c r="Y56" s="1">
        <v>8.8000000000000007</v>
      </c>
      <c r="Z56" s="1">
        <v>13</v>
      </c>
      <c r="AA56" s="1">
        <v>13.6</v>
      </c>
      <c r="AB56" s="1">
        <v>9.8000000000000007</v>
      </c>
      <c r="AC56" s="1">
        <v>9.4</v>
      </c>
      <c r="AD56" s="1">
        <v>7.6</v>
      </c>
      <c r="AE56" s="1">
        <v>4.4000000000000004</v>
      </c>
      <c r="AF56" s="1">
        <v>5.6</v>
      </c>
      <c r="AG56" s="1"/>
      <c r="AH56" s="1">
        <f t="shared" si="6"/>
        <v>7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103</v>
      </c>
      <c r="B57" s="1" t="s">
        <v>43</v>
      </c>
      <c r="C57" s="1">
        <v>115</v>
      </c>
      <c r="D57" s="1">
        <v>468</v>
      </c>
      <c r="E57" s="1">
        <v>415</v>
      </c>
      <c r="F57" s="1">
        <v>88</v>
      </c>
      <c r="G57" s="7">
        <v>0.4</v>
      </c>
      <c r="H57" s="1">
        <v>40</v>
      </c>
      <c r="I57" s="1" t="s">
        <v>38</v>
      </c>
      <c r="J57" s="1">
        <v>418</v>
      </c>
      <c r="K57" s="1">
        <f t="shared" si="13"/>
        <v>-3</v>
      </c>
      <c r="L57" s="1"/>
      <c r="M57" s="1"/>
      <c r="N57" s="1">
        <v>278.40000000000009</v>
      </c>
      <c r="O57" s="1">
        <v>56.799999999999947</v>
      </c>
      <c r="P57" s="1">
        <f t="shared" si="3"/>
        <v>83</v>
      </c>
      <c r="Q57" s="5">
        <f t="shared" si="16"/>
        <v>431.70000000000005</v>
      </c>
      <c r="R57" s="5">
        <f t="shared" si="9"/>
        <v>431.70000000000005</v>
      </c>
      <c r="S57" s="5"/>
      <c r="T57" s="1"/>
      <c r="U57" s="1">
        <f t="shared" si="4"/>
        <v>10.3</v>
      </c>
      <c r="V57" s="1">
        <f t="shared" si="5"/>
        <v>5.0987951807228917</v>
      </c>
      <c r="W57" s="1">
        <v>73.2</v>
      </c>
      <c r="X57" s="1">
        <v>78</v>
      </c>
      <c r="Y57" s="1">
        <v>82.6</v>
      </c>
      <c r="Z57" s="1">
        <v>83.2</v>
      </c>
      <c r="AA57" s="1">
        <v>71.400000000000006</v>
      </c>
      <c r="AB57" s="1">
        <v>72.2</v>
      </c>
      <c r="AC57" s="1">
        <v>69</v>
      </c>
      <c r="AD57" s="1">
        <v>64</v>
      </c>
      <c r="AE57" s="1">
        <v>73.400000000000006</v>
      </c>
      <c r="AF57" s="1">
        <v>73.2</v>
      </c>
      <c r="AG57" s="1"/>
      <c r="AH57" s="1">
        <f t="shared" si="6"/>
        <v>173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43</v>
      </c>
      <c r="C58" s="1">
        <v>121</v>
      </c>
      <c r="D58" s="1">
        <v>168</v>
      </c>
      <c r="E58" s="1">
        <v>227</v>
      </c>
      <c r="F58" s="1">
        <v>2</v>
      </c>
      <c r="G58" s="7">
        <v>0.4</v>
      </c>
      <c r="H58" s="1">
        <v>40</v>
      </c>
      <c r="I58" s="1" t="s">
        <v>38</v>
      </c>
      <c r="J58" s="1">
        <v>313</v>
      </c>
      <c r="K58" s="1">
        <f t="shared" si="13"/>
        <v>-86</v>
      </c>
      <c r="L58" s="1"/>
      <c r="M58" s="1"/>
      <c r="N58" s="1">
        <v>364.6</v>
      </c>
      <c r="O58" s="1">
        <v>115.4</v>
      </c>
      <c r="P58" s="1">
        <f t="shared" si="3"/>
        <v>45.4</v>
      </c>
      <c r="Q58" s="5">
        <v>50</v>
      </c>
      <c r="R58" s="5">
        <f>S58</f>
        <v>200</v>
      </c>
      <c r="S58" s="24">
        <v>200</v>
      </c>
      <c r="T58" s="25" t="s">
        <v>157</v>
      </c>
      <c r="U58" s="1">
        <f t="shared" si="4"/>
        <v>15.022026431718063</v>
      </c>
      <c r="V58" s="1">
        <f t="shared" si="5"/>
        <v>10.616740088105727</v>
      </c>
      <c r="W58" s="1">
        <v>61</v>
      </c>
      <c r="X58" s="1">
        <v>59.6</v>
      </c>
      <c r="Y58" s="1">
        <v>49.2</v>
      </c>
      <c r="Z58" s="1">
        <v>54.2</v>
      </c>
      <c r="AA58" s="1">
        <v>53</v>
      </c>
      <c r="AB58" s="1">
        <v>48.8</v>
      </c>
      <c r="AC58" s="1">
        <v>50.4</v>
      </c>
      <c r="AD58" s="1">
        <v>48</v>
      </c>
      <c r="AE58" s="1">
        <v>47</v>
      </c>
      <c r="AF58" s="1">
        <v>47.8</v>
      </c>
      <c r="AG58" s="1"/>
      <c r="AH58" s="1">
        <f t="shared" si="6"/>
        <v>80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37</v>
      </c>
      <c r="C59" s="1">
        <v>241.35300000000001</v>
      </c>
      <c r="D59" s="1"/>
      <c r="E59" s="1">
        <v>103.149</v>
      </c>
      <c r="F59" s="1">
        <v>109.789</v>
      </c>
      <c r="G59" s="7">
        <v>1</v>
      </c>
      <c r="H59" s="1">
        <v>40</v>
      </c>
      <c r="I59" s="1" t="s">
        <v>38</v>
      </c>
      <c r="J59" s="1">
        <v>104.208</v>
      </c>
      <c r="K59" s="1">
        <f t="shared" si="13"/>
        <v>-1.0589999999999975</v>
      </c>
      <c r="L59" s="1"/>
      <c r="M59" s="1"/>
      <c r="N59" s="1">
        <v>0</v>
      </c>
      <c r="O59" s="1">
        <v>45.405000000000001</v>
      </c>
      <c r="P59" s="1">
        <f t="shared" si="3"/>
        <v>20.629799999999999</v>
      </c>
      <c r="Q59" s="5">
        <f t="shared" si="16"/>
        <v>57.292940000000002</v>
      </c>
      <c r="R59" s="5">
        <f t="shared" si="9"/>
        <v>57.292940000000002</v>
      </c>
      <c r="S59" s="5"/>
      <c r="T59" s="1"/>
      <c r="U59" s="1">
        <f t="shared" si="4"/>
        <v>10.3</v>
      </c>
      <c r="V59" s="1">
        <f t="shared" si="5"/>
        <v>7.52280681344463</v>
      </c>
      <c r="W59" s="1">
        <v>22.31</v>
      </c>
      <c r="X59" s="1">
        <v>22.3218</v>
      </c>
      <c r="Y59" s="1">
        <v>15.7796</v>
      </c>
      <c r="Z59" s="1">
        <v>18.018599999999999</v>
      </c>
      <c r="AA59" s="1">
        <v>29.340800000000002</v>
      </c>
      <c r="AB59" s="1">
        <v>29.09</v>
      </c>
      <c r="AC59" s="1">
        <v>18.77</v>
      </c>
      <c r="AD59" s="1">
        <v>17.762799999999999</v>
      </c>
      <c r="AE59" s="1">
        <v>22.6342</v>
      </c>
      <c r="AF59" s="1">
        <v>19.869800000000001</v>
      </c>
      <c r="AG59" s="1" t="s">
        <v>106</v>
      </c>
      <c r="AH59" s="1">
        <f t="shared" si="6"/>
        <v>57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107</v>
      </c>
      <c r="B60" s="1" t="s">
        <v>37</v>
      </c>
      <c r="C60" s="1">
        <v>68.296000000000006</v>
      </c>
      <c r="D60" s="1">
        <v>126.512</v>
      </c>
      <c r="E60" s="1">
        <v>138.947</v>
      </c>
      <c r="F60" s="1">
        <v>28.125</v>
      </c>
      <c r="G60" s="7">
        <v>1</v>
      </c>
      <c r="H60" s="1">
        <v>40</v>
      </c>
      <c r="I60" s="1" t="s">
        <v>38</v>
      </c>
      <c r="J60" s="1">
        <v>135.30799999999999</v>
      </c>
      <c r="K60" s="1">
        <f t="shared" si="13"/>
        <v>3.63900000000001</v>
      </c>
      <c r="L60" s="1"/>
      <c r="M60" s="1"/>
      <c r="N60" s="1">
        <v>95.748800000000045</v>
      </c>
      <c r="O60" s="1">
        <v>56.985199999999921</v>
      </c>
      <c r="P60" s="1">
        <f t="shared" si="3"/>
        <v>27.789400000000001</v>
      </c>
      <c r="Q60" s="5">
        <f t="shared" si="16"/>
        <v>105.3718200000001</v>
      </c>
      <c r="R60" s="5">
        <f t="shared" si="9"/>
        <v>105.3718200000001</v>
      </c>
      <c r="S60" s="5"/>
      <c r="T60" s="1"/>
      <c r="U60" s="1">
        <f t="shared" si="4"/>
        <v>10.300000000000004</v>
      </c>
      <c r="V60" s="1">
        <f t="shared" si="5"/>
        <v>6.5082009687146893</v>
      </c>
      <c r="W60" s="1">
        <v>26.436199999999999</v>
      </c>
      <c r="X60" s="1">
        <v>25.998799999999999</v>
      </c>
      <c r="Y60" s="1">
        <v>26.245200000000001</v>
      </c>
      <c r="Z60" s="1">
        <v>26.8096</v>
      </c>
      <c r="AA60" s="1">
        <v>23.7818</v>
      </c>
      <c r="AB60" s="1">
        <v>24.1296</v>
      </c>
      <c r="AC60" s="1">
        <v>28.7286</v>
      </c>
      <c r="AD60" s="1">
        <v>27.3064</v>
      </c>
      <c r="AE60" s="1">
        <v>23.35</v>
      </c>
      <c r="AF60" s="1">
        <v>21.921600000000002</v>
      </c>
      <c r="AG60" s="1"/>
      <c r="AH60" s="1">
        <f t="shared" si="6"/>
        <v>105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108</v>
      </c>
      <c r="B61" s="1" t="s">
        <v>37</v>
      </c>
      <c r="C61" s="1">
        <v>129.369</v>
      </c>
      <c r="D61" s="1">
        <v>44.793999999999997</v>
      </c>
      <c r="E61" s="1">
        <v>140.96199999999999</v>
      </c>
      <c r="F61" s="1"/>
      <c r="G61" s="7">
        <v>1</v>
      </c>
      <c r="H61" s="1">
        <v>40</v>
      </c>
      <c r="I61" s="1" t="s">
        <v>38</v>
      </c>
      <c r="J61" s="1">
        <v>139.80799999999999</v>
      </c>
      <c r="K61" s="1">
        <f t="shared" si="13"/>
        <v>1.1539999999999964</v>
      </c>
      <c r="L61" s="1"/>
      <c r="M61" s="1"/>
      <c r="N61" s="1">
        <v>136.4819</v>
      </c>
      <c r="O61" s="1">
        <v>77.634700000000052</v>
      </c>
      <c r="P61" s="1">
        <f t="shared" si="3"/>
        <v>28.192399999999999</v>
      </c>
      <c r="Q61" s="5">
        <f t="shared" si="16"/>
        <v>76.265119999999968</v>
      </c>
      <c r="R61" s="5">
        <f t="shared" si="9"/>
        <v>76.265119999999968</v>
      </c>
      <c r="S61" s="5"/>
      <c r="T61" s="1"/>
      <c r="U61" s="1">
        <f t="shared" si="4"/>
        <v>10.3</v>
      </c>
      <c r="V61" s="1">
        <f t="shared" si="5"/>
        <v>7.5948340687561213</v>
      </c>
      <c r="W61" s="1">
        <v>29.488600000000002</v>
      </c>
      <c r="X61" s="1">
        <v>27.407800000000002</v>
      </c>
      <c r="Y61" s="1">
        <v>25.2224</v>
      </c>
      <c r="Z61" s="1">
        <v>26.7166</v>
      </c>
      <c r="AA61" s="1">
        <v>29.904</v>
      </c>
      <c r="AB61" s="1">
        <v>30.508800000000001</v>
      </c>
      <c r="AC61" s="1">
        <v>28.441600000000001</v>
      </c>
      <c r="AD61" s="1">
        <v>28.125</v>
      </c>
      <c r="AE61" s="1">
        <v>25.196999999999999</v>
      </c>
      <c r="AF61" s="1">
        <v>22.948399999999999</v>
      </c>
      <c r="AG61" s="1"/>
      <c r="AH61" s="1">
        <f t="shared" si="6"/>
        <v>76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7" t="s">
        <v>109</v>
      </c>
      <c r="B62" s="17" t="s">
        <v>37</v>
      </c>
      <c r="C62" s="17"/>
      <c r="D62" s="17"/>
      <c r="E62" s="17"/>
      <c r="F62" s="17"/>
      <c r="G62" s="18">
        <v>0</v>
      </c>
      <c r="H62" s="17">
        <v>30</v>
      </c>
      <c r="I62" s="17" t="s">
        <v>38</v>
      </c>
      <c r="J62" s="17"/>
      <c r="K62" s="17">
        <f t="shared" si="13"/>
        <v>0</v>
      </c>
      <c r="L62" s="17"/>
      <c r="M62" s="17"/>
      <c r="N62" s="17">
        <v>0</v>
      </c>
      <c r="O62" s="17"/>
      <c r="P62" s="17">
        <f t="shared" si="3"/>
        <v>0</v>
      </c>
      <c r="Q62" s="19"/>
      <c r="R62" s="5">
        <f t="shared" si="9"/>
        <v>0</v>
      </c>
      <c r="S62" s="19"/>
      <c r="T62" s="17"/>
      <c r="U62" s="1" t="e">
        <f t="shared" si="4"/>
        <v>#DIV/0!</v>
      </c>
      <c r="V62" s="17" t="e">
        <f t="shared" si="5"/>
        <v>#DIV/0!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 t="s">
        <v>110</v>
      </c>
      <c r="AH62" s="1">
        <f t="shared" si="6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7" t="s">
        <v>111</v>
      </c>
      <c r="B63" s="17" t="s">
        <v>43</v>
      </c>
      <c r="C63" s="17">
        <v>43</v>
      </c>
      <c r="D63" s="17"/>
      <c r="E63" s="17">
        <v>20</v>
      </c>
      <c r="F63" s="17">
        <v>23</v>
      </c>
      <c r="G63" s="18">
        <v>0</v>
      </c>
      <c r="H63" s="17">
        <v>60</v>
      </c>
      <c r="I63" s="17" t="s">
        <v>38</v>
      </c>
      <c r="J63" s="17">
        <v>20</v>
      </c>
      <c r="K63" s="17">
        <f t="shared" si="13"/>
        <v>0</v>
      </c>
      <c r="L63" s="17"/>
      <c r="M63" s="17"/>
      <c r="N63" s="17">
        <v>0</v>
      </c>
      <c r="O63" s="17"/>
      <c r="P63" s="17">
        <f t="shared" si="3"/>
        <v>4</v>
      </c>
      <c r="Q63" s="19"/>
      <c r="R63" s="5">
        <f t="shared" si="9"/>
        <v>0</v>
      </c>
      <c r="S63" s="19"/>
      <c r="T63" s="17"/>
      <c r="U63" s="1">
        <f t="shared" si="4"/>
        <v>5.75</v>
      </c>
      <c r="V63" s="17">
        <f t="shared" si="5"/>
        <v>5.75</v>
      </c>
      <c r="W63" s="17">
        <v>3.2</v>
      </c>
      <c r="X63" s="17">
        <v>3.2</v>
      </c>
      <c r="Y63" s="17">
        <v>0.2</v>
      </c>
      <c r="Z63" s="17">
        <v>0.6</v>
      </c>
      <c r="AA63" s="17">
        <v>0.4</v>
      </c>
      <c r="AB63" s="17">
        <v>0.4</v>
      </c>
      <c r="AC63" s="17">
        <v>1.2</v>
      </c>
      <c r="AD63" s="17">
        <v>1.2</v>
      </c>
      <c r="AE63" s="17">
        <v>0</v>
      </c>
      <c r="AF63" s="17">
        <v>0</v>
      </c>
      <c r="AG63" s="16" t="s">
        <v>152</v>
      </c>
      <c r="AH63" s="1">
        <f t="shared" si="6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7" t="s">
        <v>112</v>
      </c>
      <c r="B64" s="17" t="s">
        <v>43</v>
      </c>
      <c r="C64" s="17"/>
      <c r="D64" s="17"/>
      <c r="E64" s="17"/>
      <c r="F64" s="17"/>
      <c r="G64" s="18">
        <v>0</v>
      </c>
      <c r="H64" s="17">
        <v>50</v>
      </c>
      <c r="I64" s="17" t="s">
        <v>38</v>
      </c>
      <c r="J64" s="17"/>
      <c r="K64" s="17">
        <f t="shared" si="13"/>
        <v>0</v>
      </c>
      <c r="L64" s="17"/>
      <c r="M64" s="17"/>
      <c r="N64" s="17">
        <v>0</v>
      </c>
      <c r="O64" s="17"/>
      <c r="P64" s="17">
        <f t="shared" si="3"/>
        <v>0</v>
      </c>
      <c r="Q64" s="19"/>
      <c r="R64" s="5">
        <f t="shared" si="9"/>
        <v>0</v>
      </c>
      <c r="S64" s="19"/>
      <c r="T64" s="17"/>
      <c r="U64" s="1" t="e">
        <f t="shared" si="4"/>
        <v>#DIV/0!</v>
      </c>
      <c r="V64" s="17" t="e">
        <f t="shared" si="5"/>
        <v>#DIV/0!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 t="s">
        <v>113</v>
      </c>
      <c r="AH64" s="1">
        <f t="shared" si="6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7" t="s">
        <v>114</v>
      </c>
      <c r="B65" s="17" t="s">
        <v>43</v>
      </c>
      <c r="C65" s="17"/>
      <c r="D65" s="17"/>
      <c r="E65" s="17"/>
      <c r="F65" s="17"/>
      <c r="G65" s="18">
        <v>0</v>
      </c>
      <c r="H65" s="17">
        <v>50</v>
      </c>
      <c r="I65" s="17" t="s">
        <v>38</v>
      </c>
      <c r="J65" s="17"/>
      <c r="K65" s="17">
        <f t="shared" si="13"/>
        <v>0</v>
      </c>
      <c r="L65" s="17"/>
      <c r="M65" s="17"/>
      <c r="N65" s="17">
        <v>0</v>
      </c>
      <c r="O65" s="17"/>
      <c r="P65" s="17">
        <f t="shared" si="3"/>
        <v>0</v>
      </c>
      <c r="Q65" s="19"/>
      <c r="R65" s="5">
        <f t="shared" si="9"/>
        <v>0</v>
      </c>
      <c r="S65" s="19"/>
      <c r="T65" s="17"/>
      <c r="U65" s="1" t="e">
        <f t="shared" si="4"/>
        <v>#DIV/0!</v>
      </c>
      <c r="V65" s="17" t="e">
        <f t="shared" si="5"/>
        <v>#DIV/0!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 t="s">
        <v>110</v>
      </c>
      <c r="AH65" s="1">
        <f t="shared" si="6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7" t="s">
        <v>115</v>
      </c>
      <c r="B66" s="17" t="s">
        <v>43</v>
      </c>
      <c r="C66" s="17"/>
      <c r="D66" s="17"/>
      <c r="E66" s="17"/>
      <c r="F66" s="17"/>
      <c r="G66" s="18">
        <v>0</v>
      </c>
      <c r="H66" s="17">
        <v>30</v>
      </c>
      <c r="I66" s="17" t="s">
        <v>38</v>
      </c>
      <c r="J66" s="17"/>
      <c r="K66" s="17">
        <f t="shared" si="13"/>
        <v>0</v>
      </c>
      <c r="L66" s="17"/>
      <c r="M66" s="17"/>
      <c r="N66" s="17">
        <v>0</v>
      </c>
      <c r="O66" s="17"/>
      <c r="P66" s="17">
        <f t="shared" si="3"/>
        <v>0</v>
      </c>
      <c r="Q66" s="19"/>
      <c r="R66" s="5">
        <f t="shared" si="9"/>
        <v>0</v>
      </c>
      <c r="S66" s="19"/>
      <c r="T66" s="17"/>
      <c r="U66" s="1" t="e">
        <f t="shared" si="4"/>
        <v>#DIV/0!</v>
      </c>
      <c r="V66" s="17" t="e">
        <f t="shared" si="5"/>
        <v>#DIV/0!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 t="s">
        <v>110</v>
      </c>
      <c r="AH66" s="1">
        <f t="shared" si="6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7" t="s">
        <v>116</v>
      </c>
      <c r="B67" s="17" t="s">
        <v>43</v>
      </c>
      <c r="C67" s="17"/>
      <c r="D67" s="17"/>
      <c r="E67" s="17"/>
      <c r="F67" s="17"/>
      <c r="G67" s="18">
        <v>0</v>
      </c>
      <c r="H67" s="17">
        <v>55</v>
      </c>
      <c r="I67" s="17" t="s">
        <v>38</v>
      </c>
      <c r="J67" s="17"/>
      <c r="K67" s="17">
        <f t="shared" si="13"/>
        <v>0</v>
      </c>
      <c r="L67" s="17"/>
      <c r="M67" s="17"/>
      <c r="N67" s="17">
        <v>0</v>
      </c>
      <c r="O67" s="17"/>
      <c r="P67" s="17">
        <f t="shared" si="3"/>
        <v>0</v>
      </c>
      <c r="Q67" s="19"/>
      <c r="R67" s="5">
        <f t="shared" si="9"/>
        <v>0</v>
      </c>
      <c r="S67" s="19"/>
      <c r="T67" s="17"/>
      <c r="U67" s="1" t="e">
        <f t="shared" si="4"/>
        <v>#DIV/0!</v>
      </c>
      <c r="V67" s="17" t="e">
        <f t="shared" si="5"/>
        <v>#DIV/0!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 t="s">
        <v>117</v>
      </c>
      <c r="AH67" s="1">
        <f t="shared" si="6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7" t="s">
        <v>118</v>
      </c>
      <c r="B68" s="17" t="s">
        <v>43</v>
      </c>
      <c r="C68" s="17">
        <v>17</v>
      </c>
      <c r="D68" s="17"/>
      <c r="E68" s="17"/>
      <c r="F68" s="17"/>
      <c r="G68" s="18">
        <v>0</v>
      </c>
      <c r="H68" s="17">
        <v>40</v>
      </c>
      <c r="I68" s="17" t="s">
        <v>38</v>
      </c>
      <c r="J68" s="17">
        <v>9</v>
      </c>
      <c r="K68" s="17">
        <f t="shared" si="13"/>
        <v>-9</v>
      </c>
      <c r="L68" s="17"/>
      <c r="M68" s="17"/>
      <c r="N68" s="17">
        <v>0</v>
      </c>
      <c r="O68" s="17"/>
      <c r="P68" s="17">
        <f t="shared" si="3"/>
        <v>0</v>
      </c>
      <c r="Q68" s="19"/>
      <c r="R68" s="5">
        <f t="shared" si="9"/>
        <v>0</v>
      </c>
      <c r="S68" s="19"/>
      <c r="T68" s="17"/>
      <c r="U68" s="1" t="e">
        <f t="shared" si="4"/>
        <v>#DIV/0!</v>
      </c>
      <c r="V68" s="17" t="e">
        <f t="shared" si="5"/>
        <v>#DIV/0!</v>
      </c>
      <c r="W68" s="17">
        <v>7.2</v>
      </c>
      <c r="X68" s="17">
        <v>7.2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 t="s">
        <v>66</v>
      </c>
      <c r="AH68" s="1">
        <f t="shared" si="6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119</v>
      </c>
      <c r="B69" s="1" t="s">
        <v>43</v>
      </c>
      <c r="C69" s="1">
        <v>53</v>
      </c>
      <c r="D69" s="1">
        <v>6</v>
      </c>
      <c r="E69" s="1">
        <v>40</v>
      </c>
      <c r="F69" s="1">
        <v>16</v>
      </c>
      <c r="G69" s="7">
        <v>0.4</v>
      </c>
      <c r="H69" s="1">
        <v>50</v>
      </c>
      <c r="I69" s="1" t="s">
        <v>38</v>
      </c>
      <c r="J69" s="1">
        <v>44</v>
      </c>
      <c r="K69" s="1">
        <f t="shared" si="13"/>
        <v>-4</v>
      </c>
      <c r="L69" s="1"/>
      <c r="M69" s="1"/>
      <c r="N69" s="1">
        <v>0</v>
      </c>
      <c r="O69" s="1"/>
      <c r="P69" s="1">
        <f t="shared" si="3"/>
        <v>8</v>
      </c>
      <c r="Q69" s="5">
        <f>9.5*P69-O69-N69-F69</f>
        <v>60</v>
      </c>
      <c r="R69" s="5">
        <f t="shared" si="9"/>
        <v>60</v>
      </c>
      <c r="S69" s="5"/>
      <c r="T69" s="1"/>
      <c r="U69" s="1">
        <f t="shared" si="4"/>
        <v>9.5</v>
      </c>
      <c r="V69" s="1">
        <f t="shared" si="5"/>
        <v>2</v>
      </c>
      <c r="W69" s="1">
        <v>3.6</v>
      </c>
      <c r="X69" s="1">
        <v>4.4000000000000004</v>
      </c>
      <c r="Y69" s="1">
        <v>5.6</v>
      </c>
      <c r="Z69" s="1">
        <v>7.4</v>
      </c>
      <c r="AA69" s="1">
        <v>3.6</v>
      </c>
      <c r="AB69" s="1">
        <v>2</v>
      </c>
      <c r="AC69" s="1">
        <v>10</v>
      </c>
      <c r="AD69" s="1">
        <v>9.4</v>
      </c>
      <c r="AE69" s="1">
        <v>0</v>
      </c>
      <c r="AF69" s="1">
        <v>0</v>
      </c>
      <c r="AG69" s="1"/>
      <c r="AH69" s="1">
        <f t="shared" si="6"/>
        <v>24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20" t="s">
        <v>120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95" si="17">E70-J70</f>
        <v>0</v>
      </c>
      <c r="L70" s="1"/>
      <c r="M70" s="1"/>
      <c r="N70" s="1"/>
      <c r="O70" s="20"/>
      <c r="P70" s="1">
        <f t="shared" si="3"/>
        <v>0</v>
      </c>
      <c r="Q70" s="21">
        <v>10</v>
      </c>
      <c r="R70" s="5">
        <f t="shared" si="9"/>
        <v>10</v>
      </c>
      <c r="S70" s="5"/>
      <c r="T70" s="1"/>
      <c r="U70" s="1" t="e">
        <f t="shared" si="4"/>
        <v>#DIV/0!</v>
      </c>
      <c r="V70" s="1" t="e">
        <f t="shared" si="5"/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20" t="s">
        <v>121</v>
      </c>
      <c r="AH70" s="1">
        <f t="shared" si="6"/>
        <v>1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20" t="s">
        <v>122</v>
      </c>
      <c r="B71" s="1" t="s">
        <v>43</v>
      </c>
      <c r="C71" s="1"/>
      <c r="D71" s="1"/>
      <c r="E71" s="1"/>
      <c r="F71" s="1"/>
      <c r="G71" s="7">
        <v>0.15</v>
      </c>
      <c r="H71" s="1">
        <v>60</v>
      </c>
      <c r="I71" s="1" t="s">
        <v>38</v>
      </c>
      <c r="J71" s="1"/>
      <c r="K71" s="1">
        <f t="shared" si="17"/>
        <v>0</v>
      </c>
      <c r="L71" s="1"/>
      <c r="M71" s="1"/>
      <c r="N71" s="1"/>
      <c r="O71" s="20"/>
      <c r="P71" s="1">
        <f t="shared" ref="P71:P95" si="18">E71/5</f>
        <v>0</v>
      </c>
      <c r="Q71" s="21">
        <v>10</v>
      </c>
      <c r="R71" s="5">
        <f t="shared" si="9"/>
        <v>10</v>
      </c>
      <c r="S71" s="5"/>
      <c r="T71" s="1"/>
      <c r="U71" s="1" t="e">
        <f t="shared" ref="U71:U95" si="19">(F71+N71+O71+R71)/P71</f>
        <v>#DIV/0!</v>
      </c>
      <c r="V71" s="1" t="e">
        <f t="shared" ref="V71:V95" si="20">(F71+N71+O71)/P71</f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-0.4</v>
      </c>
      <c r="AF71" s="1">
        <v>-0.4</v>
      </c>
      <c r="AG71" s="20" t="s">
        <v>121</v>
      </c>
      <c r="AH71" s="1">
        <f t="shared" ref="AH71:AH95" si="21">ROUND(G71*R71,0)</f>
        <v>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7" t="s">
        <v>123</v>
      </c>
      <c r="B72" s="17" t="s">
        <v>43</v>
      </c>
      <c r="C72" s="17"/>
      <c r="D72" s="17"/>
      <c r="E72" s="17"/>
      <c r="F72" s="17"/>
      <c r="G72" s="18">
        <v>0</v>
      </c>
      <c r="H72" s="17">
        <v>55</v>
      </c>
      <c r="I72" s="17" t="s">
        <v>38</v>
      </c>
      <c r="J72" s="17"/>
      <c r="K72" s="17">
        <f t="shared" si="17"/>
        <v>0</v>
      </c>
      <c r="L72" s="17"/>
      <c r="M72" s="17"/>
      <c r="N72" s="17">
        <v>0</v>
      </c>
      <c r="O72" s="17"/>
      <c r="P72" s="17">
        <f t="shared" si="18"/>
        <v>0</v>
      </c>
      <c r="Q72" s="19"/>
      <c r="R72" s="5">
        <f t="shared" ref="R72:R95" si="22">Q72</f>
        <v>0</v>
      </c>
      <c r="S72" s="19"/>
      <c r="T72" s="17"/>
      <c r="U72" s="1" t="e">
        <f t="shared" si="19"/>
        <v>#DIV/0!</v>
      </c>
      <c r="V72" s="17" t="e">
        <f t="shared" si="20"/>
        <v>#DIV/0!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 t="s">
        <v>110</v>
      </c>
      <c r="AH72" s="1">
        <f t="shared" si="21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124</v>
      </c>
      <c r="B73" s="1" t="s">
        <v>37</v>
      </c>
      <c r="C73" s="1">
        <v>50.588999999999999</v>
      </c>
      <c r="D73" s="1"/>
      <c r="E73" s="1"/>
      <c r="F73" s="1"/>
      <c r="G73" s="7">
        <v>1</v>
      </c>
      <c r="H73" s="1">
        <v>55</v>
      </c>
      <c r="I73" s="1" t="s">
        <v>38</v>
      </c>
      <c r="J73" s="1">
        <v>2.8</v>
      </c>
      <c r="K73" s="1">
        <f t="shared" si="17"/>
        <v>-2.8</v>
      </c>
      <c r="L73" s="1"/>
      <c r="M73" s="1"/>
      <c r="N73" s="1">
        <v>0</v>
      </c>
      <c r="O73" s="1">
        <v>0</v>
      </c>
      <c r="P73" s="1">
        <f t="shared" si="18"/>
        <v>0</v>
      </c>
      <c r="Q73" s="23">
        <f>10.3*P73-O73-N73-F73</f>
        <v>0</v>
      </c>
      <c r="R73" s="5">
        <f t="shared" si="22"/>
        <v>0</v>
      </c>
      <c r="S73" s="5"/>
      <c r="T73" s="1"/>
      <c r="U73" s="1" t="e">
        <f t="shared" si="19"/>
        <v>#DIV/0!</v>
      </c>
      <c r="V73" s="1" t="e">
        <f t="shared" si="20"/>
        <v>#DIV/0!</v>
      </c>
      <c r="W73" s="1">
        <v>-0.29020000000000001</v>
      </c>
      <c r="X73" s="1">
        <v>-0.29020000000000001</v>
      </c>
      <c r="Y73" s="1">
        <v>0.28220000000000001</v>
      </c>
      <c r="Z73" s="1">
        <v>0.28220000000000001</v>
      </c>
      <c r="AA73" s="1">
        <v>0.2838</v>
      </c>
      <c r="AB73" s="1">
        <v>2.5790000000000002</v>
      </c>
      <c r="AC73" s="1">
        <v>2.3086000000000002</v>
      </c>
      <c r="AD73" s="1">
        <v>2.3086000000000002</v>
      </c>
      <c r="AE73" s="1">
        <v>0.28539999999999999</v>
      </c>
      <c r="AF73" s="1">
        <v>0.28539999999999999</v>
      </c>
      <c r="AG73" s="22" t="s">
        <v>156</v>
      </c>
      <c r="AH73" s="1">
        <f t="shared" si="21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125</v>
      </c>
      <c r="B74" s="13" t="s">
        <v>37</v>
      </c>
      <c r="C74" s="13">
        <v>155.953</v>
      </c>
      <c r="D74" s="13"/>
      <c r="E74" s="13">
        <v>33.404000000000003</v>
      </c>
      <c r="F74" s="13">
        <v>116.979</v>
      </c>
      <c r="G74" s="14">
        <v>0</v>
      </c>
      <c r="H74" s="13">
        <v>50</v>
      </c>
      <c r="I74" s="13" t="s">
        <v>100</v>
      </c>
      <c r="J74" s="13">
        <v>31.1</v>
      </c>
      <c r="K74" s="13">
        <f t="shared" si="17"/>
        <v>2.304000000000002</v>
      </c>
      <c r="L74" s="13"/>
      <c r="M74" s="13"/>
      <c r="N74" s="13">
        <v>0</v>
      </c>
      <c r="O74" s="13"/>
      <c r="P74" s="13">
        <f t="shared" si="18"/>
        <v>6.6808000000000005</v>
      </c>
      <c r="Q74" s="15"/>
      <c r="R74" s="5">
        <f t="shared" si="22"/>
        <v>0</v>
      </c>
      <c r="S74" s="15"/>
      <c r="T74" s="13"/>
      <c r="U74" s="1">
        <f t="shared" si="19"/>
        <v>17.509729373727694</v>
      </c>
      <c r="V74" s="13">
        <f t="shared" si="20"/>
        <v>17.509729373727694</v>
      </c>
      <c r="W74" s="13">
        <v>4.7278000000000002</v>
      </c>
      <c r="X74" s="13">
        <v>3.3361999999999998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6" t="s">
        <v>151</v>
      </c>
      <c r="AH74" s="1">
        <f t="shared" si="21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7" t="s">
        <v>126</v>
      </c>
      <c r="B75" s="17" t="s">
        <v>43</v>
      </c>
      <c r="C75" s="17"/>
      <c r="D75" s="17"/>
      <c r="E75" s="17">
        <v>-1</v>
      </c>
      <c r="F75" s="17"/>
      <c r="G75" s="18">
        <v>0</v>
      </c>
      <c r="H75" s="17">
        <v>40</v>
      </c>
      <c r="I75" s="17" t="s">
        <v>38</v>
      </c>
      <c r="J75" s="17">
        <v>1</v>
      </c>
      <c r="K75" s="17">
        <f t="shared" si="17"/>
        <v>-2</v>
      </c>
      <c r="L75" s="17"/>
      <c r="M75" s="17"/>
      <c r="N75" s="17">
        <v>0</v>
      </c>
      <c r="O75" s="17"/>
      <c r="P75" s="17">
        <f t="shared" si="18"/>
        <v>-0.2</v>
      </c>
      <c r="Q75" s="19"/>
      <c r="R75" s="5">
        <f t="shared" si="22"/>
        <v>0</v>
      </c>
      <c r="S75" s="19"/>
      <c r="T75" s="17"/>
      <c r="U75" s="1">
        <f t="shared" si="19"/>
        <v>0</v>
      </c>
      <c r="V75" s="17">
        <f t="shared" si="20"/>
        <v>0</v>
      </c>
      <c r="W75" s="17">
        <v>-0.2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-0.2</v>
      </c>
      <c r="AD75" s="17">
        <v>-0.4</v>
      </c>
      <c r="AE75" s="17">
        <v>-0.4</v>
      </c>
      <c r="AF75" s="17">
        <v>-0.2</v>
      </c>
      <c r="AG75" s="17" t="s">
        <v>127</v>
      </c>
      <c r="AH75" s="1">
        <f t="shared" si="21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128</v>
      </c>
      <c r="B76" s="1" t="s">
        <v>43</v>
      </c>
      <c r="C76" s="1"/>
      <c r="D76" s="1">
        <v>6</v>
      </c>
      <c r="E76" s="1">
        <v>5</v>
      </c>
      <c r="F76" s="1"/>
      <c r="G76" s="7">
        <v>0.2</v>
      </c>
      <c r="H76" s="1">
        <v>35</v>
      </c>
      <c r="I76" s="1" t="s">
        <v>38</v>
      </c>
      <c r="J76" s="1">
        <v>6</v>
      </c>
      <c r="K76" s="1">
        <f t="shared" si="17"/>
        <v>-1</v>
      </c>
      <c r="L76" s="1"/>
      <c r="M76" s="1"/>
      <c r="N76" s="1">
        <v>6</v>
      </c>
      <c r="O76" s="1"/>
      <c r="P76" s="1">
        <f t="shared" si="18"/>
        <v>1</v>
      </c>
      <c r="Q76" s="5">
        <f t="shared" ref="Q76:Q80" si="23">10.3*P76-O76-N76-F76</f>
        <v>4.3000000000000007</v>
      </c>
      <c r="R76" s="5">
        <f t="shared" si="22"/>
        <v>4.3000000000000007</v>
      </c>
      <c r="S76" s="5"/>
      <c r="T76" s="1"/>
      <c r="U76" s="1">
        <f t="shared" si="19"/>
        <v>10.3</v>
      </c>
      <c r="V76" s="1">
        <f t="shared" si="20"/>
        <v>6</v>
      </c>
      <c r="W76" s="1">
        <v>-0.2</v>
      </c>
      <c r="X76" s="1">
        <v>-0.2</v>
      </c>
      <c r="Y76" s="1">
        <v>-0.2</v>
      </c>
      <c r="Z76" s="1">
        <v>0</v>
      </c>
      <c r="AA76" s="1">
        <v>-0.8</v>
      </c>
      <c r="AB76" s="1">
        <v>-0.8</v>
      </c>
      <c r="AC76" s="1">
        <v>0</v>
      </c>
      <c r="AD76" s="1">
        <v>-0.2</v>
      </c>
      <c r="AE76" s="1">
        <v>-0.8</v>
      </c>
      <c r="AF76" s="1">
        <v>-0.8</v>
      </c>
      <c r="AG76" s="1" t="s">
        <v>129</v>
      </c>
      <c r="AH76" s="1">
        <f t="shared" si="21"/>
        <v>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130</v>
      </c>
      <c r="B77" s="1" t="s">
        <v>37</v>
      </c>
      <c r="C77" s="1">
        <v>115.13800000000001</v>
      </c>
      <c r="D77" s="1">
        <v>86.915999999999997</v>
      </c>
      <c r="E77" s="1">
        <v>60.670999999999999</v>
      </c>
      <c r="F77" s="1">
        <v>118.9</v>
      </c>
      <c r="G77" s="7">
        <v>1</v>
      </c>
      <c r="H77" s="1">
        <v>60</v>
      </c>
      <c r="I77" s="1" t="s">
        <v>38</v>
      </c>
      <c r="J77" s="1">
        <v>61.597999999999999</v>
      </c>
      <c r="K77" s="1">
        <f t="shared" si="17"/>
        <v>-0.9269999999999996</v>
      </c>
      <c r="L77" s="1"/>
      <c r="M77" s="1"/>
      <c r="N77" s="1">
        <v>0</v>
      </c>
      <c r="O77" s="1"/>
      <c r="P77" s="1">
        <f t="shared" si="18"/>
        <v>12.1342</v>
      </c>
      <c r="Q77" s="5">
        <f t="shared" si="23"/>
        <v>6.0822600000000051</v>
      </c>
      <c r="R77" s="5">
        <f t="shared" si="22"/>
        <v>6.0822600000000051</v>
      </c>
      <c r="S77" s="5"/>
      <c r="T77" s="1"/>
      <c r="U77" s="1">
        <f t="shared" si="19"/>
        <v>10.3</v>
      </c>
      <c r="V77" s="1">
        <f t="shared" si="20"/>
        <v>9.7987506386906436</v>
      </c>
      <c r="W77" s="1">
        <v>12.692</v>
      </c>
      <c r="X77" s="1">
        <v>13.7348</v>
      </c>
      <c r="Y77" s="1">
        <v>17.5732</v>
      </c>
      <c r="Z77" s="1">
        <v>17.683399999999999</v>
      </c>
      <c r="AA77" s="1">
        <v>20.470199999999998</v>
      </c>
      <c r="AB77" s="1">
        <v>21.198399999999999</v>
      </c>
      <c r="AC77" s="1">
        <v>16.9664</v>
      </c>
      <c r="AD77" s="1">
        <v>16.479199999999999</v>
      </c>
      <c r="AE77" s="1">
        <v>15.379200000000001</v>
      </c>
      <c r="AF77" s="1">
        <v>16.2072</v>
      </c>
      <c r="AG77" s="10" t="s">
        <v>58</v>
      </c>
      <c r="AH77" s="1">
        <f t="shared" si="21"/>
        <v>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131</v>
      </c>
      <c r="B78" s="1" t="s">
        <v>37</v>
      </c>
      <c r="C78" s="1">
        <v>287.40100000000001</v>
      </c>
      <c r="D78" s="1">
        <v>566.28</v>
      </c>
      <c r="E78" s="1">
        <v>674.12199999999996</v>
      </c>
      <c r="F78" s="1"/>
      <c r="G78" s="7">
        <v>1</v>
      </c>
      <c r="H78" s="1">
        <v>60</v>
      </c>
      <c r="I78" s="1" t="s">
        <v>38</v>
      </c>
      <c r="J78" s="1">
        <v>762.5</v>
      </c>
      <c r="K78" s="1">
        <f t="shared" si="17"/>
        <v>-88.378000000000043</v>
      </c>
      <c r="L78" s="1"/>
      <c r="M78" s="1"/>
      <c r="N78" s="1">
        <v>792.22140000000013</v>
      </c>
      <c r="O78" s="1">
        <v>312.0329999999999</v>
      </c>
      <c r="P78" s="1">
        <f t="shared" si="18"/>
        <v>134.8244</v>
      </c>
      <c r="Q78" s="5">
        <f t="shared" si="23"/>
        <v>284.4369200000001</v>
      </c>
      <c r="R78" s="24">
        <f>Q78+2*P78</f>
        <v>554.08572000000004</v>
      </c>
      <c r="S78" s="5"/>
      <c r="T78" s="1"/>
      <c r="U78" s="1">
        <f t="shared" si="19"/>
        <v>12.3</v>
      </c>
      <c r="V78" s="1">
        <f t="shared" si="20"/>
        <v>8.1903156995321318</v>
      </c>
      <c r="W78" s="1">
        <v>138.46899999999999</v>
      </c>
      <c r="X78" s="1">
        <v>131.834</v>
      </c>
      <c r="Y78" s="1">
        <v>94.513800000000003</v>
      </c>
      <c r="Z78" s="1">
        <v>99.917400000000001</v>
      </c>
      <c r="AA78" s="1">
        <v>94.762</v>
      </c>
      <c r="AB78" s="1">
        <v>88.28</v>
      </c>
      <c r="AC78" s="1">
        <v>104.4498</v>
      </c>
      <c r="AD78" s="1">
        <v>100.03360000000001</v>
      </c>
      <c r="AE78" s="1">
        <v>92.5488</v>
      </c>
      <c r="AF78" s="1">
        <v>103.0472</v>
      </c>
      <c r="AG78" s="1" t="s">
        <v>58</v>
      </c>
      <c r="AH78" s="1">
        <f t="shared" si="21"/>
        <v>554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132</v>
      </c>
      <c r="B79" s="1" t="s">
        <v>37</v>
      </c>
      <c r="C79" s="1">
        <v>132.233</v>
      </c>
      <c r="D79" s="1">
        <v>508.66800000000001</v>
      </c>
      <c r="E79" s="1">
        <v>506.779</v>
      </c>
      <c r="F79" s="1"/>
      <c r="G79" s="7">
        <v>1</v>
      </c>
      <c r="H79" s="1">
        <v>60</v>
      </c>
      <c r="I79" s="1" t="s">
        <v>38</v>
      </c>
      <c r="J79" s="1">
        <v>651</v>
      </c>
      <c r="K79" s="1">
        <f t="shared" si="17"/>
        <v>-144.221</v>
      </c>
      <c r="L79" s="1"/>
      <c r="M79" s="1"/>
      <c r="N79" s="1">
        <v>704.47360000000003</v>
      </c>
      <c r="O79" s="1">
        <v>208.97639999999981</v>
      </c>
      <c r="P79" s="1">
        <f t="shared" si="18"/>
        <v>101.3558</v>
      </c>
      <c r="Q79" s="5">
        <f t="shared" si="23"/>
        <v>130.5147400000003</v>
      </c>
      <c r="R79" s="5">
        <f>S79</f>
        <v>300</v>
      </c>
      <c r="S79" s="24">
        <v>300</v>
      </c>
      <c r="T79" s="25" t="s">
        <v>158</v>
      </c>
      <c r="U79" s="1">
        <f t="shared" si="19"/>
        <v>11.972181167727943</v>
      </c>
      <c r="V79" s="1">
        <f t="shared" si="20"/>
        <v>9.0123110862920512</v>
      </c>
      <c r="W79" s="1">
        <v>111.047</v>
      </c>
      <c r="X79" s="1">
        <v>109.56059999999999</v>
      </c>
      <c r="Y79" s="1">
        <v>77.376400000000004</v>
      </c>
      <c r="Z79" s="1">
        <v>73.351399999999998</v>
      </c>
      <c r="AA79" s="1">
        <v>73.628599999999992</v>
      </c>
      <c r="AB79" s="1">
        <v>82.586600000000004</v>
      </c>
      <c r="AC79" s="1">
        <v>85.712999999999994</v>
      </c>
      <c r="AD79" s="1">
        <v>75.755399999999995</v>
      </c>
      <c r="AE79" s="1">
        <v>74.537599999999998</v>
      </c>
      <c r="AF79" s="1">
        <v>84.558000000000007</v>
      </c>
      <c r="AG79" s="1" t="s">
        <v>58</v>
      </c>
      <c r="AH79" s="1">
        <f t="shared" si="21"/>
        <v>300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133</v>
      </c>
      <c r="B80" s="1" t="s">
        <v>37</v>
      </c>
      <c r="C80" s="1">
        <v>901.52</v>
      </c>
      <c r="D80" s="1"/>
      <c r="E80" s="1">
        <v>616.95799999999997</v>
      </c>
      <c r="F80" s="1">
        <v>202.09700000000001</v>
      </c>
      <c r="G80" s="7">
        <v>1</v>
      </c>
      <c r="H80" s="1">
        <v>60</v>
      </c>
      <c r="I80" s="1" t="s">
        <v>38</v>
      </c>
      <c r="J80" s="1">
        <v>612.5</v>
      </c>
      <c r="K80" s="1">
        <f t="shared" si="17"/>
        <v>4.45799999999997</v>
      </c>
      <c r="L80" s="1"/>
      <c r="M80" s="1"/>
      <c r="N80" s="1">
        <v>520.28319999999997</v>
      </c>
      <c r="O80" s="1"/>
      <c r="P80" s="1">
        <f t="shared" si="18"/>
        <v>123.3916</v>
      </c>
      <c r="Q80" s="5">
        <f t="shared" si="23"/>
        <v>548.5532800000002</v>
      </c>
      <c r="R80" s="24">
        <f>Q80+P80</f>
        <v>671.94488000000024</v>
      </c>
      <c r="S80" s="5"/>
      <c r="T80" s="1"/>
      <c r="U80" s="1">
        <f t="shared" si="19"/>
        <v>11.3</v>
      </c>
      <c r="V80" s="1">
        <f t="shared" si="20"/>
        <v>5.8543709620427968</v>
      </c>
      <c r="W80" s="1">
        <v>138.13939999999999</v>
      </c>
      <c r="X80" s="1">
        <v>167.5504</v>
      </c>
      <c r="Y80" s="1">
        <v>171.14580000000001</v>
      </c>
      <c r="Z80" s="1">
        <v>166.64920000000001</v>
      </c>
      <c r="AA80" s="1">
        <v>213.7526</v>
      </c>
      <c r="AB80" s="1">
        <v>215.4034</v>
      </c>
      <c r="AC80" s="1">
        <v>219.905</v>
      </c>
      <c r="AD80" s="1">
        <v>205.07599999999999</v>
      </c>
      <c r="AE80" s="1">
        <v>164.2604</v>
      </c>
      <c r="AF80" s="1">
        <v>151.7236</v>
      </c>
      <c r="AG80" s="1"/>
      <c r="AH80" s="1">
        <f t="shared" si="21"/>
        <v>672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134</v>
      </c>
      <c r="B81" s="1" t="s">
        <v>37</v>
      </c>
      <c r="C81" s="1">
        <v>10.994</v>
      </c>
      <c r="D81" s="1"/>
      <c r="E81" s="1">
        <v>1.3660000000000001</v>
      </c>
      <c r="F81" s="1">
        <v>6.8739999999999997</v>
      </c>
      <c r="G81" s="7">
        <v>1</v>
      </c>
      <c r="H81" s="1">
        <v>55</v>
      </c>
      <c r="I81" s="1" t="s">
        <v>38</v>
      </c>
      <c r="J81" s="1">
        <v>1.4</v>
      </c>
      <c r="K81" s="1">
        <f t="shared" si="17"/>
        <v>-3.3999999999999808E-2</v>
      </c>
      <c r="L81" s="1"/>
      <c r="M81" s="1"/>
      <c r="N81" s="1">
        <v>0</v>
      </c>
      <c r="O81" s="1">
        <v>4</v>
      </c>
      <c r="P81" s="1">
        <f t="shared" si="18"/>
        <v>0.2732</v>
      </c>
      <c r="Q81" s="5"/>
      <c r="R81" s="5">
        <f t="shared" si="22"/>
        <v>0</v>
      </c>
      <c r="S81" s="5"/>
      <c r="T81" s="1"/>
      <c r="U81" s="1">
        <f t="shared" si="19"/>
        <v>39.802342606149338</v>
      </c>
      <c r="V81" s="1">
        <f t="shared" si="20"/>
        <v>39.802342606149338</v>
      </c>
      <c r="W81" s="1">
        <v>0.82400000000000007</v>
      </c>
      <c r="X81" s="1">
        <v>0.55079999999999996</v>
      </c>
      <c r="Y81" s="1">
        <v>0</v>
      </c>
      <c r="Z81" s="1">
        <v>0</v>
      </c>
      <c r="AA81" s="1">
        <v>0.80199999999999994</v>
      </c>
      <c r="AB81" s="1">
        <v>1.0693999999999999</v>
      </c>
      <c r="AC81" s="1">
        <v>0.53859999999999997</v>
      </c>
      <c r="AD81" s="1">
        <v>0.2712</v>
      </c>
      <c r="AE81" s="1">
        <v>0</v>
      </c>
      <c r="AF81" s="1">
        <v>0</v>
      </c>
      <c r="AG81" s="16" t="s">
        <v>153</v>
      </c>
      <c r="AH81" s="1">
        <f t="shared" si="21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135</v>
      </c>
      <c r="B82" s="1" t="s">
        <v>37</v>
      </c>
      <c r="C82" s="1">
        <v>10.691000000000001</v>
      </c>
      <c r="D82" s="1"/>
      <c r="E82" s="1">
        <v>1.34</v>
      </c>
      <c r="F82" s="1">
        <v>8.0150000000000006</v>
      </c>
      <c r="G82" s="7">
        <v>1</v>
      </c>
      <c r="H82" s="1">
        <v>55</v>
      </c>
      <c r="I82" s="1" t="s">
        <v>38</v>
      </c>
      <c r="J82" s="1">
        <v>1.4</v>
      </c>
      <c r="K82" s="1">
        <f t="shared" si="17"/>
        <v>-5.9999999999999831E-2</v>
      </c>
      <c r="L82" s="1"/>
      <c r="M82" s="1"/>
      <c r="N82" s="1">
        <v>0</v>
      </c>
      <c r="O82" s="1"/>
      <c r="P82" s="1">
        <f t="shared" si="18"/>
        <v>0.26800000000000002</v>
      </c>
      <c r="Q82" s="5"/>
      <c r="R82" s="5">
        <f t="shared" si="22"/>
        <v>0</v>
      </c>
      <c r="S82" s="5"/>
      <c r="T82" s="1"/>
      <c r="U82" s="1">
        <f t="shared" si="19"/>
        <v>29.906716417910449</v>
      </c>
      <c r="V82" s="1">
        <f t="shared" si="20"/>
        <v>29.906716417910449</v>
      </c>
      <c r="W82" s="1">
        <v>0.53520000000000001</v>
      </c>
      <c r="X82" s="1">
        <v>0.26719999999999999</v>
      </c>
      <c r="Y82" s="1">
        <v>0</v>
      </c>
      <c r="Z82" s="1">
        <v>-0.14000000000000001</v>
      </c>
      <c r="AA82" s="1">
        <v>-0.40639999999999998</v>
      </c>
      <c r="AB82" s="1">
        <v>-0.26640000000000003</v>
      </c>
      <c r="AC82" s="1">
        <v>0.26679999999999998</v>
      </c>
      <c r="AD82" s="1">
        <v>0.53620000000000001</v>
      </c>
      <c r="AE82" s="1">
        <v>0.80840000000000001</v>
      </c>
      <c r="AF82" s="1">
        <v>0.53899999999999992</v>
      </c>
      <c r="AG82" s="16" t="s">
        <v>154</v>
      </c>
      <c r="AH82" s="1">
        <f t="shared" si="21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136</v>
      </c>
      <c r="B83" s="1" t="s">
        <v>37</v>
      </c>
      <c r="C83" s="1">
        <v>6.67</v>
      </c>
      <c r="D83" s="1"/>
      <c r="E83" s="1">
        <v>1.3240000000000001</v>
      </c>
      <c r="F83" s="1">
        <v>2.6680000000000001</v>
      </c>
      <c r="G83" s="7">
        <v>1</v>
      </c>
      <c r="H83" s="1">
        <v>55</v>
      </c>
      <c r="I83" s="1" t="s">
        <v>38</v>
      </c>
      <c r="J83" s="1">
        <v>1.4</v>
      </c>
      <c r="K83" s="1">
        <f t="shared" si="17"/>
        <v>-7.5999999999999845E-2</v>
      </c>
      <c r="L83" s="1"/>
      <c r="M83" s="1"/>
      <c r="N83" s="1">
        <v>6.7640000000000002</v>
      </c>
      <c r="O83" s="1">
        <v>5.3124000000000002</v>
      </c>
      <c r="P83" s="1">
        <f t="shared" si="18"/>
        <v>0.26480000000000004</v>
      </c>
      <c r="Q83" s="5"/>
      <c r="R83" s="5">
        <f t="shared" si="22"/>
        <v>0</v>
      </c>
      <c r="S83" s="5"/>
      <c r="T83" s="1"/>
      <c r="U83" s="1">
        <f t="shared" si="19"/>
        <v>55.681268882175225</v>
      </c>
      <c r="V83" s="1">
        <f t="shared" si="20"/>
        <v>55.681268882175225</v>
      </c>
      <c r="W83" s="1">
        <v>1.3404</v>
      </c>
      <c r="X83" s="1">
        <v>1.0755999999999999</v>
      </c>
      <c r="Y83" s="1">
        <v>0</v>
      </c>
      <c r="Z83" s="1">
        <v>0.26879999999999998</v>
      </c>
      <c r="AA83" s="1">
        <v>0.81400000000000006</v>
      </c>
      <c r="AB83" s="1">
        <v>0.54520000000000002</v>
      </c>
      <c r="AC83" s="1">
        <v>0.2712</v>
      </c>
      <c r="AD83" s="1">
        <v>0.54200000000000004</v>
      </c>
      <c r="AE83" s="1">
        <v>0.27079999999999999</v>
      </c>
      <c r="AF83" s="1">
        <v>0</v>
      </c>
      <c r="AG83" s="16" t="s">
        <v>47</v>
      </c>
      <c r="AH83" s="1">
        <f t="shared" si="21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7" t="s">
        <v>137</v>
      </c>
      <c r="B84" s="17" t="s">
        <v>37</v>
      </c>
      <c r="C84" s="17"/>
      <c r="D84" s="17"/>
      <c r="E84" s="17"/>
      <c r="F84" s="17"/>
      <c r="G84" s="18">
        <v>0</v>
      </c>
      <c r="H84" s="17">
        <v>60</v>
      </c>
      <c r="I84" s="17" t="s">
        <v>38</v>
      </c>
      <c r="J84" s="17"/>
      <c r="K84" s="17">
        <f t="shared" si="17"/>
        <v>0</v>
      </c>
      <c r="L84" s="17"/>
      <c r="M84" s="17"/>
      <c r="N84" s="17">
        <v>0</v>
      </c>
      <c r="O84" s="17"/>
      <c r="P84" s="17">
        <f t="shared" si="18"/>
        <v>0</v>
      </c>
      <c r="Q84" s="19"/>
      <c r="R84" s="5">
        <f t="shared" si="22"/>
        <v>0</v>
      </c>
      <c r="S84" s="19"/>
      <c r="T84" s="17"/>
      <c r="U84" s="1" t="e">
        <f t="shared" si="19"/>
        <v>#DIV/0!</v>
      </c>
      <c r="V84" s="17" t="e">
        <f t="shared" si="20"/>
        <v>#DIV/0!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 t="s">
        <v>110</v>
      </c>
      <c r="AH84" s="1">
        <f t="shared" si="21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138</v>
      </c>
      <c r="B85" s="1" t="s">
        <v>43</v>
      </c>
      <c r="C85" s="1">
        <v>2</v>
      </c>
      <c r="D85" s="1">
        <v>18</v>
      </c>
      <c r="E85" s="1">
        <v>6</v>
      </c>
      <c r="F85" s="1">
        <v>8</v>
      </c>
      <c r="G85" s="7">
        <v>0.3</v>
      </c>
      <c r="H85" s="1">
        <v>40</v>
      </c>
      <c r="I85" s="1" t="s">
        <v>38</v>
      </c>
      <c r="J85" s="1">
        <v>11</v>
      </c>
      <c r="K85" s="1">
        <f t="shared" si="17"/>
        <v>-5</v>
      </c>
      <c r="L85" s="1"/>
      <c r="M85" s="1"/>
      <c r="N85" s="1">
        <v>6</v>
      </c>
      <c r="O85" s="1"/>
      <c r="P85" s="1">
        <f t="shared" si="18"/>
        <v>1.2</v>
      </c>
      <c r="Q85" s="5">
        <v>6</v>
      </c>
      <c r="R85" s="5">
        <f t="shared" si="22"/>
        <v>6</v>
      </c>
      <c r="S85" s="5"/>
      <c r="T85" s="1"/>
      <c r="U85" s="1">
        <f t="shared" si="19"/>
        <v>16.666666666666668</v>
      </c>
      <c r="V85" s="1">
        <f t="shared" si="20"/>
        <v>11.666666666666668</v>
      </c>
      <c r="W85" s="1">
        <v>1.2</v>
      </c>
      <c r="X85" s="1">
        <v>0.4</v>
      </c>
      <c r="Y85" s="1">
        <v>2</v>
      </c>
      <c r="Z85" s="1">
        <v>3.4</v>
      </c>
      <c r="AA85" s="1">
        <v>1</v>
      </c>
      <c r="AB85" s="1">
        <v>0.8</v>
      </c>
      <c r="AC85" s="1">
        <v>0.8</v>
      </c>
      <c r="AD85" s="1">
        <v>1.4</v>
      </c>
      <c r="AE85" s="1">
        <v>4.5999999999999996</v>
      </c>
      <c r="AF85" s="1">
        <v>4</v>
      </c>
      <c r="AG85" s="1"/>
      <c r="AH85" s="1">
        <f t="shared" si="21"/>
        <v>2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139</v>
      </c>
      <c r="B86" s="1" t="s">
        <v>43</v>
      </c>
      <c r="C86" s="1">
        <v>32</v>
      </c>
      <c r="D86" s="1">
        <v>1</v>
      </c>
      <c r="E86" s="1">
        <v>12</v>
      </c>
      <c r="F86" s="1">
        <v>15</v>
      </c>
      <c r="G86" s="7">
        <v>0.3</v>
      </c>
      <c r="H86" s="1">
        <v>40</v>
      </c>
      <c r="I86" s="1" t="s">
        <v>38</v>
      </c>
      <c r="J86" s="1">
        <v>21</v>
      </c>
      <c r="K86" s="1">
        <f t="shared" si="17"/>
        <v>-9</v>
      </c>
      <c r="L86" s="1"/>
      <c r="M86" s="1"/>
      <c r="N86" s="1">
        <v>0</v>
      </c>
      <c r="O86" s="1"/>
      <c r="P86" s="1">
        <f t="shared" si="18"/>
        <v>2.4</v>
      </c>
      <c r="Q86" s="5">
        <f>9*P86-O86-N86-F86</f>
        <v>6.5999999999999979</v>
      </c>
      <c r="R86" s="5">
        <f t="shared" si="22"/>
        <v>6.5999999999999979</v>
      </c>
      <c r="S86" s="5"/>
      <c r="T86" s="1"/>
      <c r="U86" s="1">
        <f t="shared" si="19"/>
        <v>9</v>
      </c>
      <c r="V86" s="1">
        <f t="shared" si="20"/>
        <v>6.25</v>
      </c>
      <c r="W86" s="1">
        <v>-1</v>
      </c>
      <c r="X86" s="1">
        <v>-0.6</v>
      </c>
      <c r="Y86" s="1">
        <v>-0.2</v>
      </c>
      <c r="Z86" s="1">
        <v>-0.2</v>
      </c>
      <c r="AA86" s="1">
        <v>0.4</v>
      </c>
      <c r="AB86" s="1">
        <v>0.4</v>
      </c>
      <c r="AC86" s="1">
        <v>2.8</v>
      </c>
      <c r="AD86" s="1">
        <v>3</v>
      </c>
      <c r="AE86" s="1">
        <v>1</v>
      </c>
      <c r="AF86" s="1">
        <v>0.8</v>
      </c>
      <c r="AG86" s="16" t="s">
        <v>47</v>
      </c>
      <c r="AH86" s="1">
        <f t="shared" si="21"/>
        <v>2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140</v>
      </c>
      <c r="B87" s="1" t="s">
        <v>43</v>
      </c>
      <c r="C87" s="1">
        <v>11</v>
      </c>
      <c r="D87" s="1">
        <v>60</v>
      </c>
      <c r="E87" s="1">
        <v>61</v>
      </c>
      <c r="F87" s="1">
        <v>2</v>
      </c>
      <c r="G87" s="7">
        <v>0.3</v>
      </c>
      <c r="H87" s="1">
        <v>40</v>
      </c>
      <c r="I87" s="1" t="s">
        <v>38</v>
      </c>
      <c r="J87" s="1">
        <v>75</v>
      </c>
      <c r="K87" s="1">
        <f t="shared" si="17"/>
        <v>-14</v>
      </c>
      <c r="L87" s="1"/>
      <c r="M87" s="1"/>
      <c r="N87" s="1">
        <v>28</v>
      </c>
      <c r="O87" s="1">
        <v>12.599999999999991</v>
      </c>
      <c r="P87" s="1">
        <f t="shared" si="18"/>
        <v>12.2</v>
      </c>
      <c r="Q87" s="5">
        <f t="shared" ref="Q87" si="24">10.3*P87-O87-N87-F87</f>
        <v>83.06</v>
      </c>
      <c r="R87" s="5">
        <f t="shared" si="22"/>
        <v>83.06</v>
      </c>
      <c r="S87" s="5"/>
      <c r="T87" s="1"/>
      <c r="U87" s="1">
        <f t="shared" si="19"/>
        <v>10.3</v>
      </c>
      <c r="V87" s="1">
        <f t="shared" si="20"/>
        <v>3.4918032786885242</v>
      </c>
      <c r="W87" s="1">
        <v>8.6</v>
      </c>
      <c r="X87" s="1">
        <v>8.6</v>
      </c>
      <c r="Y87" s="1">
        <v>9.8000000000000007</v>
      </c>
      <c r="Z87" s="1">
        <v>9.1999999999999993</v>
      </c>
      <c r="AA87" s="1">
        <v>7.4</v>
      </c>
      <c r="AB87" s="1">
        <v>9.4</v>
      </c>
      <c r="AC87" s="1">
        <v>9</v>
      </c>
      <c r="AD87" s="1">
        <v>8</v>
      </c>
      <c r="AE87" s="1">
        <v>8.1999999999999993</v>
      </c>
      <c r="AF87" s="1">
        <v>8.1999999999999993</v>
      </c>
      <c r="AG87" s="1"/>
      <c r="AH87" s="1">
        <f t="shared" si="21"/>
        <v>25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141</v>
      </c>
      <c r="B88" s="1" t="s">
        <v>37</v>
      </c>
      <c r="C88" s="1">
        <v>214.00200000000001</v>
      </c>
      <c r="D88" s="1">
        <v>157.77099999999999</v>
      </c>
      <c r="E88" s="1">
        <v>313.529</v>
      </c>
      <c r="F88" s="1"/>
      <c r="G88" s="7">
        <v>1</v>
      </c>
      <c r="H88" s="1">
        <v>40</v>
      </c>
      <c r="I88" s="1" t="s">
        <v>38</v>
      </c>
      <c r="J88" s="1">
        <v>365.2</v>
      </c>
      <c r="K88" s="1">
        <f t="shared" si="17"/>
        <v>-51.670999999999992</v>
      </c>
      <c r="L88" s="1"/>
      <c r="M88" s="1"/>
      <c r="N88" s="1">
        <v>648.35539999999992</v>
      </c>
      <c r="O88" s="1">
        <v>217.32609999999991</v>
      </c>
      <c r="P88" s="1">
        <f t="shared" si="18"/>
        <v>62.705799999999996</v>
      </c>
      <c r="Q88" s="5">
        <v>100</v>
      </c>
      <c r="R88" s="5">
        <f t="shared" si="22"/>
        <v>100</v>
      </c>
      <c r="S88" s="5"/>
      <c r="T88" s="1"/>
      <c r="U88" s="1">
        <f t="shared" si="19"/>
        <v>15.400194240405192</v>
      </c>
      <c r="V88" s="1">
        <f t="shared" si="20"/>
        <v>13.80544542929043</v>
      </c>
      <c r="W88" s="1">
        <v>91.754999999999995</v>
      </c>
      <c r="X88" s="1">
        <v>86.299400000000006</v>
      </c>
      <c r="Y88" s="1">
        <v>62.136000000000003</v>
      </c>
      <c r="Z88" s="1">
        <v>64.355199999999996</v>
      </c>
      <c r="AA88" s="1">
        <v>80.082999999999998</v>
      </c>
      <c r="AB88" s="1">
        <v>79.946400000000011</v>
      </c>
      <c r="AC88" s="1">
        <v>60.302799999999998</v>
      </c>
      <c r="AD88" s="1">
        <v>66.147000000000006</v>
      </c>
      <c r="AE88" s="1">
        <v>79.867400000000004</v>
      </c>
      <c r="AF88" s="1">
        <v>74.951800000000006</v>
      </c>
      <c r="AG88" s="10" t="s">
        <v>58</v>
      </c>
      <c r="AH88" s="1">
        <f t="shared" si="21"/>
        <v>100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142</v>
      </c>
      <c r="B89" s="1" t="s">
        <v>43</v>
      </c>
      <c r="C89" s="1">
        <v>31</v>
      </c>
      <c r="D89" s="1"/>
      <c r="E89" s="1">
        <v>16</v>
      </c>
      <c r="F89" s="1"/>
      <c r="G89" s="7">
        <v>0.3</v>
      </c>
      <c r="H89" s="1">
        <v>40</v>
      </c>
      <c r="I89" s="1" t="s">
        <v>38</v>
      </c>
      <c r="J89" s="1">
        <v>69</v>
      </c>
      <c r="K89" s="1">
        <f t="shared" si="17"/>
        <v>-53</v>
      </c>
      <c r="L89" s="1"/>
      <c r="M89" s="1"/>
      <c r="N89" s="1">
        <v>7.0000000000000071</v>
      </c>
      <c r="O89" s="1">
        <v>71.599999999999994</v>
      </c>
      <c r="P89" s="1">
        <f t="shared" si="18"/>
        <v>3.2</v>
      </c>
      <c r="Q89" s="5">
        <v>20</v>
      </c>
      <c r="R89" s="5">
        <f t="shared" ref="R89:R90" si="25">S89</f>
        <v>50</v>
      </c>
      <c r="S89" s="24">
        <v>50</v>
      </c>
      <c r="T89" s="25" t="s">
        <v>160</v>
      </c>
      <c r="U89" s="1">
        <f t="shared" si="19"/>
        <v>40.187499999999993</v>
      </c>
      <c r="V89" s="1">
        <f t="shared" si="20"/>
        <v>24.562499999999996</v>
      </c>
      <c r="W89" s="1">
        <v>9.4</v>
      </c>
      <c r="X89" s="1">
        <v>8</v>
      </c>
      <c r="Y89" s="1">
        <v>10.4</v>
      </c>
      <c r="Z89" s="1">
        <v>11.4</v>
      </c>
      <c r="AA89" s="1">
        <v>9.8000000000000007</v>
      </c>
      <c r="AB89" s="1">
        <v>10.4</v>
      </c>
      <c r="AC89" s="1">
        <v>9.4</v>
      </c>
      <c r="AD89" s="1">
        <v>8.8000000000000007</v>
      </c>
      <c r="AE89" s="1">
        <v>9.8000000000000007</v>
      </c>
      <c r="AF89" s="1">
        <v>8.4</v>
      </c>
      <c r="AG89" s="1"/>
      <c r="AH89" s="1">
        <f t="shared" si="21"/>
        <v>15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143</v>
      </c>
      <c r="B90" s="1" t="s">
        <v>43</v>
      </c>
      <c r="C90" s="1">
        <v>14</v>
      </c>
      <c r="D90" s="1">
        <v>37</v>
      </c>
      <c r="E90" s="1">
        <v>37</v>
      </c>
      <c r="F90" s="1"/>
      <c r="G90" s="7">
        <v>0.3</v>
      </c>
      <c r="H90" s="1">
        <v>40</v>
      </c>
      <c r="I90" s="1" t="s">
        <v>38</v>
      </c>
      <c r="J90" s="1">
        <v>63</v>
      </c>
      <c r="K90" s="1">
        <f t="shared" si="17"/>
        <v>-26</v>
      </c>
      <c r="L90" s="1"/>
      <c r="M90" s="1"/>
      <c r="N90" s="1">
        <v>55.499999999999993</v>
      </c>
      <c r="O90" s="1">
        <v>21.500000000000011</v>
      </c>
      <c r="P90" s="1">
        <f t="shared" si="18"/>
        <v>7.4</v>
      </c>
      <c r="Q90" s="5">
        <v>20</v>
      </c>
      <c r="R90" s="5">
        <f t="shared" si="25"/>
        <v>50</v>
      </c>
      <c r="S90" s="24">
        <v>50</v>
      </c>
      <c r="T90" s="25" t="s">
        <v>160</v>
      </c>
      <c r="U90" s="1">
        <f t="shared" si="19"/>
        <v>17.162162162162161</v>
      </c>
      <c r="V90" s="1">
        <f t="shared" si="20"/>
        <v>10.405405405405405</v>
      </c>
      <c r="W90" s="1">
        <v>10</v>
      </c>
      <c r="X90" s="1">
        <v>9.1999999999999993</v>
      </c>
      <c r="Y90" s="1">
        <v>7</v>
      </c>
      <c r="Z90" s="1">
        <v>8</v>
      </c>
      <c r="AA90" s="1">
        <v>7.8</v>
      </c>
      <c r="AB90" s="1">
        <v>8.8000000000000007</v>
      </c>
      <c r="AC90" s="1">
        <v>7.2</v>
      </c>
      <c r="AD90" s="1">
        <v>6.6</v>
      </c>
      <c r="AE90" s="1">
        <v>6.8</v>
      </c>
      <c r="AF90" s="1">
        <v>7</v>
      </c>
      <c r="AG90" s="1"/>
      <c r="AH90" s="1">
        <f t="shared" si="21"/>
        <v>15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144</v>
      </c>
      <c r="B91" s="1" t="s">
        <v>37</v>
      </c>
      <c r="C91" s="1">
        <v>58.966000000000001</v>
      </c>
      <c r="D91" s="1">
        <v>1.4650000000000001</v>
      </c>
      <c r="E91" s="1">
        <v>8.2970000000000006</v>
      </c>
      <c r="F91" s="1">
        <v>42.215000000000003</v>
      </c>
      <c r="G91" s="7">
        <v>1</v>
      </c>
      <c r="H91" s="1">
        <v>45</v>
      </c>
      <c r="I91" s="1" t="s">
        <v>38</v>
      </c>
      <c r="J91" s="1">
        <v>8.1</v>
      </c>
      <c r="K91" s="1">
        <f t="shared" si="17"/>
        <v>0.19700000000000095</v>
      </c>
      <c r="L91" s="1"/>
      <c r="M91" s="1"/>
      <c r="N91" s="1">
        <v>0</v>
      </c>
      <c r="O91" s="1"/>
      <c r="P91" s="1">
        <f t="shared" si="18"/>
        <v>1.6594000000000002</v>
      </c>
      <c r="Q91" s="5"/>
      <c r="R91" s="5">
        <f t="shared" si="22"/>
        <v>0</v>
      </c>
      <c r="S91" s="5"/>
      <c r="T91" s="1"/>
      <c r="U91" s="1">
        <f t="shared" si="19"/>
        <v>25.439918042666022</v>
      </c>
      <c r="V91" s="1">
        <f t="shared" si="20"/>
        <v>25.439918042666022</v>
      </c>
      <c r="W91" s="1">
        <v>1.1088</v>
      </c>
      <c r="X91" s="1">
        <v>1.673</v>
      </c>
      <c r="Y91" s="1">
        <v>0.27639999999999998</v>
      </c>
      <c r="Z91" s="1">
        <v>0.27739999999999998</v>
      </c>
      <c r="AA91" s="1">
        <v>0.3498</v>
      </c>
      <c r="AB91" s="1">
        <v>7.2399999999999992E-2</v>
      </c>
      <c r="AC91" s="1">
        <v>-0.2762</v>
      </c>
      <c r="AD91" s="1">
        <v>-0.2762</v>
      </c>
      <c r="AE91" s="1">
        <v>0</v>
      </c>
      <c r="AF91" s="1">
        <v>0</v>
      </c>
      <c r="AG91" s="16" t="s">
        <v>155</v>
      </c>
      <c r="AH91" s="1">
        <f t="shared" si="21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145</v>
      </c>
      <c r="B92" s="1" t="s">
        <v>43</v>
      </c>
      <c r="C92" s="1">
        <v>16</v>
      </c>
      <c r="D92" s="1">
        <v>12</v>
      </c>
      <c r="E92" s="1">
        <v>17</v>
      </c>
      <c r="F92" s="1"/>
      <c r="G92" s="7">
        <v>0.33</v>
      </c>
      <c r="H92" s="1">
        <v>40</v>
      </c>
      <c r="I92" s="1" t="s">
        <v>38</v>
      </c>
      <c r="J92" s="1">
        <v>28</v>
      </c>
      <c r="K92" s="1">
        <f t="shared" si="17"/>
        <v>-11</v>
      </c>
      <c r="L92" s="1"/>
      <c r="M92" s="1"/>
      <c r="N92" s="1">
        <v>58.2</v>
      </c>
      <c r="O92" s="1">
        <v>15.8</v>
      </c>
      <c r="P92" s="1">
        <f t="shared" si="18"/>
        <v>3.4</v>
      </c>
      <c r="Q92" s="5">
        <v>10</v>
      </c>
      <c r="R92" s="5">
        <f t="shared" si="22"/>
        <v>10</v>
      </c>
      <c r="S92" s="5"/>
      <c r="T92" s="1"/>
      <c r="U92" s="1">
        <f t="shared" si="19"/>
        <v>24.705882352941178</v>
      </c>
      <c r="V92" s="1">
        <f t="shared" si="20"/>
        <v>21.764705882352942</v>
      </c>
      <c r="W92" s="1">
        <v>8</v>
      </c>
      <c r="X92" s="1">
        <v>7.8</v>
      </c>
      <c r="Y92" s="1">
        <v>5.2</v>
      </c>
      <c r="Z92" s="1">
        <v>4.8</v>
      </c>
      <c r="AA92" s="1">
        <v>6</v>
      </c>
      <c r="AB92" s="1">
        <v>7</v>
      </c>
      <c r="AC92" s="1">
        <v>5.4</v>
      </c>
      <c r="AD92" s="1">
        <v>4.8</v>
      </c>
      <c r="AE92" s="1">
        <v>4.4000000000000004</v>
      </c>
      <c r="AF92" s="1">
        <v>4.2</v>
      </c>
      <c r="AG92" s="1"/>
      <c r="AH92" s="1">
        <f t="shared" si="21"/>
        <v>3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146</v>
      </c>
      <c r="B93" s="1" t="s">
        <v>43</v>
      </c>
      <c r="C93" s="1">
        <v>1</v>
      </c>
      <c r="D93" s="1"/>
      <c r="E93" s="1"/>
      <c r="F93" s="1"/>
      <c r="G93" s="7">
        <v>0.3</v>
      </c>
      <c r="H93" s="1">
        <v>40</v>
      </c>
      <c r="I93" s="1" t="s">
        <v>38</v>
      </c>
      <c r="J93" s="1"/>
      <c r="K93" s="1">
        <f t="shared" si="17"/>
        <v>0</v>
      </c>
      <c r="L93" s="1"/>
      <c r="M93" s="1"/>
      <c r="N93" s="1">
        <v>68.8</v>
      </c>
      <c r="O93" s="1">
        <v>25.8</v>
      </c>
      <c r="P93" s="1">
        <f t="shared" si="18"/>
        <v>0</v>
      </c>
      <c r="Q93" s="5">
        <v>10</v>
      </c>
      <c r="R93" s="5">
        <f t="shared" si="22"/>
        <v>10</v>
      </c>
      <c r="S93" s="5"/>
      <c r="T93" s="1"/>
      <c r="U93" s="1" t="e">
        <f t="shared" si="19"/>
        <v>#DIV/0!</v>
      </c>
      <c r="V93" s="1" t="e">
        <f t="shared" si="20"/>
        <v>#DIV/0!</v>
      </c>
      <c r="W93" s="1">
        <v>8.6</v>
      </c>
      <c r="X93" s="1">
        <v>8.6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 t="s">
        <v>147</v>
      </c>
      <c r="AH93" s="1">
        <f t="shared" si="21"/>
        <v>3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2" t="s">
        <v>148</v>
      </c>
      <c r="B94" s="1" t="s">
        <v>37</v>
      </c>
      <c r="C94" s="1"/>
      <c r="D94" s="1"/>
      <c r="E94" s="1"/>
      <c r="F94" s="1"/>
      <c r="G94" s="7">
        <v>1</v>
      </c>
      <c r="H94" s="1">
        <v>50</v>
      </c>
      <c r="I94" s="1" t="s">
        <v>38</v>
      </c>
      <c r="J94" s="1"/>
      <c r="K94" s="1">
        <f t="shared" si="17"/>
        <v>0</v>
      </c>
      <c r="L94" s="1"/>
      <c r="M94" s="1"/>
      <c r="N94" s="1">
        <v>16</v>
      </c>
      <c r="O94" s="1"/>
      <c r="P94" s="1">
        <f t="shared" si="18"/>
        <v>0</v>
      </c>
      <c r="Q94" s="5"/>
      <c r="R94" s="5">
        <f t="shared" si="22"/>
        <v>0</v>
      </c>
      <c r="S94" s="5"/>
      <c r="T94" s="1"/>
      <c r="U94" s="1" t="e">
        <f t="shared" si="19"/>
        <v>#DIV/0!</v>
      </c>
      <c r="V94" s="1" t="e">
        <f t="shared" si="20"/>
        <v>#DIV/0!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147</v>
      </c>
      <c r="AH94" s="1">
        <f t="shared" si="21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2" t="s">
        <v>149</v>
      </c>
      <c r="B95" s="1" t="s">
        <v>43</v>
      </c>
      <c r="C95" s="1"/>
      <c r="D95" s="1"/>
      <c r="E95" s="1"/>
      <c r="F95" s="1"/>
      <c r="G95" s="7">
        <v>0.05</v>
      </c>
      <c r="H95" s="1">
        <v>120</v>
      </c>
      <c r="I95" s="1" t="s">
        <v>38</v>
      </c>
      <c r="J95" s="1"/>
      <c r="K95" s="1">
        <f t="shared" si="17"/>
        <v>0</v>
      </c>
      <c r="L95" s="1"/>
      <c r="M95" s="1"/>
      <c r="N95" s="1">
        <v>40</v>
      </c>
      <c r="O95" s="1"/>
      <c r="P95" s="1">
        <f t="shared" si="18"/>
        <v>0</v>
      </c>
      <c r="Q95" s="5"/>
      <c r="R95" s="5">
        <f t="shared" si="22"/>
        <v>0</v>
      </c>
      <c r="S95" s="5"/>
      <c r="T95" s="1"/>
      <c r="U95" s="1" t="e">
        <f t="shared" si="19"/>
        <v>#DIV/0!</v>
      </c>
      <c r="V95" s="1" t="e">
        <f t="shared" si="20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147</v>
      </c>
      <c r="AH95" s="1">
        <f t="shared" si="21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2025-04-09T07:45:38Z</dcterms:created>
  <dcterms:modified xsi:type="dcterms:W3CDTF">2025-04-10T09:06:05Z</dcterms:modified>
</cp:coreProperties>
</file>