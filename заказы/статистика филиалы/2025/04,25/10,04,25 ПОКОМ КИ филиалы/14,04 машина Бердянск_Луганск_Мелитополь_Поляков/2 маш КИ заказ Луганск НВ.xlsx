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D5B548E2-F3FC-405E-BE9C-3DFAC83FF2B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Y29" i="1" l="1"/>
  <c r="Y78" i="1"/>
  <c r="Y91" i="1"/>
  <c r="Y103" i="1"/>
  <c r="Y33" i="1"/>
  <c r="Y41" i="1"/>
  <c r="Y56" i="1"/>
  <c r="Y62" i="1"/>
  <c r="Y68" i="1"/>
  <c r="Y84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Z565" i="1" s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385" i="1"/>
  <c r="Z221" i="1"/>
  <c r="Z161" i="1"/>
  <c r="Z547" i="1"/>
  <c r="Z517" i="1"/>
  <c r="Z442" i="1"/>
  <c r="Z332" i="1"/>
  <c r="Z83" i="1"/>
  <c r="Z596" i="1" s="1"/>
  <c r="Y595" i="1"/>
  <c r="Z408" i="1"/>
  <c r="Z370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<sst xmlns="http://schemas.openxmlformats.org/spreadsheetml/2006/main" count="2720" uniqueCount="975">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</sst>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8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220</v>
      </c>
      <c r="Y37" s="664">
        <f>IFERROR(IF(X37="",0,CEILING((X37/$H37),1)*$H37),"")</f>
        <v>226.8</v>
      </c>
      <c r="Z37" s="36">
        <f>IFERROR(IF(Y37=0,"",ROUNDUP(Y37/H37,0)*0.01898),"")</f>
        <v>0.39857999999999999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228.86111111111109</v>
      </c>
      <c r="BN37" s="64">
        <f>IFERROR(Y37*I37/H37,"0")</f>
        <v>235.93499999999997</v>
      </c>
      <c r="BO37" s="64">
        <f>IFERROR(1/J37*(X37/H37),"0")</f>
        <v>0.31828703703703703</v>
      </c>
      <c r="BP37" s="64">
        <f>IFERROR(1/J37*(Y37/H37),"0")</f>
        <v>0.328125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37</v>
      </c>
      <c r="Y39" s="664">
        <f>IFERROR(IF(X39="",0,CEILING((X39/$H39),1)*$H39),"")</f>
        <v>37</v>
      </c>
      <c r="Z39" s="36">
        <f>IFERROR(IF(Y39=0,"",ROUNDUP(Y39/H39,0)*0.00902),"")</f>
        <v>9.0200000000000002E-2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39.1</v>
      </c>
      <c r="BN39" s="64">
        <f>IFERROR(Y39*I39/H39,"0")</f>
        <v>39.1</v>
      </c>
      <c r="BO39" s="64">
        <f>IFERROR(1/J39*(X39/H39),"0")</f>
        <v>7.575757575757576E-2</v>
      </c>
      <c r="BP39" s="64">
        <f>IFERROR(1/J39*(Y39/H39),"0")</f>
        <v>7.575757575757576E-2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30.37037037037037</v>
      </c>
      <c r="Y41" s="665">
        <f>IFERROR(Y37/H37,"0")+IFERROR(Y38/H38,"0")+IFERROR(Y39/H39,"0")+IFERROR(Y40/H40,"0")</f>
        <v>31</v>
      </c>
      <c r="Z41" s="665">
        <f>IFERROR(IF(Z37="",0,Z37),"0")+IFERROR(IF(Z38="",0,Z38),"0")+IFERROR(IF(Z39="",0,Z39),"0")+IFERROR(IF(Z40="",0,Z40),"0")</f>
        <v>0.48877999999999999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257</v>
      </c>
      <c r="Y42" s="665">
        <f>IFERROR(SUM(Y37:Y40),"0")</f>
        <v>263.8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150</v>
      </c>
      <c r="Y49" s="664">
        <f t="shared" ref="Y49:Y54" si="6">IFERROR(IF(X49="",0,CEILING((X49/$H49),1)*$H49),"")</f>
        <v>156.79999999999998</v>
      </c>
      <c r="Z49" s="36">
        <f>IFERROR(IF(Y49=0,"",ROUNDUP(Y49/H49,0)*0.01898),"")</f>
        <v>0.26572000000000001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155.82589285714286</v>
      </c>
      <c r="BN49" s="64">
        <f t="shared" ref="BN49:BN54" si="8">IFERROR(Y49*I49/H49,"0")</f>
        <v>162.88999999999999</v>
      </c>
      <c r="BO49" s="64">
        <f t="shared" ref="BO49:BO54" si="9">IFERROR(1/J49*(X49/H49),"0")</f>
        <v>0.20926339285714288</v>
      </c>
      <c r="BP49" s="64">
        <f t="shared" ref="BP49:BP54" si="10">IFERROR(1/J49*(Y49/H49),"0")</f>
        <v>0.21875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50</v>
      </c>
      <c r="Y50" s="664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18.022486772486772</v>
      </c>
      <c r="Y55" s="665">
        <f>IFERROR(Y49/H49,"0")+IFERROR(Y50/H50,"0")+IFERROR(Y51/H51,"0")+IFERROR(Y52/H52,"0")+IFERROR(Y53/H53,"0")+IFERROR(Y54/H54,"0")</f>
        <v>19</v>
      </c>
      <c r="Z55" s="665">
        <f>IFERROR(IF(Z49="",0,Z49),"0")+IFERROR(IF(Z50="",0,Z50),"0")+IFERROR(IF(Z51="",0,Z51),"0")+IFERROR(IF(Z52="",0,Z52),"0")+IFERROR(IF(Z53="",0,Z53),"0")+IFERROR(IF(Z54="",0,Z54),"0")</f>
        <v>0.36062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200</v>
      </c>
      <c r="Y56" s="665">
        <f>IFERROR(SUM(Y49:Y54),"0")</f>
        <v>210.79999999999998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169</v>
      </c>
      <c r="Y58" s="664">
        <f>IFERROR(IF(X58="",0,CEILING((X58/$H58),1)*$H58),"")</f>
        <v>172.8</v>
      </c>
      <c r="Z58" s="36">
        <f>IFERROR(IF(Y58=0,"",ROUNDUP(Y58/H58,0)*0.01898),"")</f>
        <v>0.30368000000000001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175.80694444444441</v>
      </c>
      <c r="BN58" s="64">
        <f>IFERROR(Y58*I58/H58,"0")</f>
        <v>179.76</v>
      </c>
      <c r="BO58" s="64">
        <f>IFERROR(1/J58*(X58/H58),"0")</f>
        <v>0.2445023148148148</v>
      </c>
      <c r="BP58" s="64">
        <f>IFERROR(1/J58*(Y58/H58),"0")</f>
        <v>0.25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15.648148148148147</v>
      </c>
      <c r="Y62" s="665">
        <f>IFERROR(Y58/H58,"0")+IFERROR(Y59/H59,"0")+IFERROR(Y60/H60,"0")+IFERROR(Y61/H61,"0")</f>
        <v>16</v>
      </c>
      <c r="Z62" s="665">
        <f>IFERROR(IF(Z58="",0,Z58),"0")+IFERROR(IF(Z59="",0,Z59),"0")+IFERROR(IF(Z60="",0,Z60),"0")+IFERROR(IF(Z61="",0,Z61),"0")</f>
        <v>0.30368000000000001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169</v>
      </c>
      <c r="Y63" s="665">
        <f>IFERROR(SUM(Y58:Y61),"0")</f>
        <v>172.8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25</v>
      </c>
      <c r="Y72" s="664">
        <f t="shared" si="11"/>
        <v>25.200000000000003</v>
      </c>
      <c r="Z72" s="36">
        <f>IFERROR(IF(Y72=0,"",ROUNDUP(Y72/H72,0)*0.01898),"")</f>
        <v>5.6940000000000004E-2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26.294642857142858</v>
      </c>
      <c r="BN72" s="64">
        <f t="shared" si="13"/>
        <v>26.505000000000006</v>
      </c>
      <c r="BO72" s="64">
        <f t="shared" si="14"/>
        <v>4.6502976190476192E-2</v>
      </c>
      <c r="BP72" s="64">
        <f t="shared" si="15"/>
        <v>4.6875E-2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2.9761904761904763</v>
      </c>
      <c r="Y77" s="665">
        <f>IFERROR(Y71/H71,"0")+IFERROR(Y72/H72,"0")+IFERROR(Y73/H73,"0")+IFERROR(Y74/H74,"0")+IFERROR(Y75/H75,"0")+IFERROR(Y76/H76,"0")</f>
        <v>3</v>
      </c>
      <c r="Z77" s="665">
        <f>IFERROR(IF(Z71="",0,Z71),"0")+IFERROR(IF(Z72="",0,Z72),"0")+IFERROR(IF(Z73="",0,Z73),"0")+IFERROR(IF(Z74="",0,Z74),"0")+IFERROR(IF(Z75="",0,Z75),"0")+IFERROR(IF(Z76="",0,Z76),"0")</f>
        <v>5.6940000000000004E-2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25</v>
      </c>
      <c r="Y78" s="665">
        <f>IFERROR(SUM(Y71:Y76),"0")</f>
        <v>25.200000000000003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53</v>
      </c>
      <c r="Y80" s="664">
        <f>IFERROR(IF(X80="",0,CEILING((X80/$H80),1)*$H80),"")</f>
        <v>58.800000000000004</v>
      </c>
      <c r="Z80" s="36">
        <f>IFERROR(IF(Y80=0,"",ROUNDUP(Y80/H80,0)*0.01898),"")</f>
        <v>0.13286000000000001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56.274642857142858</v>
      </c>
      <c r="BN80" s="64">
        <f>IFERROR(Y80*I80/H80,"0")</f>
        <v>62.433000000000007</v>
      </c>
      <c r="BO80" s="64">
        <f>IFERROR(1/J80*(X80/H80),"0")</f>
        <v>9.8586309523809521E-2</v>
      </c>
      <c r="BP80" s="64">
        <f>IFERROR(1/J80*(Y80/H80),"0")</f>
        <v>0.109375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18</v>
      </c>
      <c r="Y82" s="664">
        <f>IFERROR(IF(X82="",0,CEILING((X82/$H82),1)*$H82),"")</f>
        <v>19.2</v>
      </c>
      <c r="Z82" s="36">
        <f>IFERROR(IF(Y82=0,"",ROUNDUP(Y82/H82,0)*0.00902),"")</f>
        <v>7.2160000000000002E-2</v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19.574999999999999</v>
      </c>
      <c r="BN82" s="64">
        <f>IFERROR(Y82*I82/H82,"0")</f>
        <v>20.88</v>
      </c>
      <c r="BO82" s="64">
        <f>IFERROR(1/J82*(X82/H82),"0")</f>
        <v>5.6818181818181823E-2</v>
      </c>
      <c r="BP82" s="64">
        <f>IFERROR(1/J82*(Y82/H82),"0")</f>
        <v>6.0606060606060608E-2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13.80952380952381</v>
      </c>
      <c r="Y83" s="665">
        <f>IFERROR(Y80/H80,"0")+IFERROR(Y81/H81,"0")+IFERROR(Y82/H82,"0")</f>
        <v>15</v>
      </c>
      <c r="Z83" s="665">
        <f>IFERROR(IF(Z80="",0,Z80),"0")+IFERROR(IF(Z81="",0,Z81),"0")+IFERROR(IF(Z82="",0,Z82),"0")</f>
        <v>0.20502000000000001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71</v>
      </c>
      <c r="Y84" s="665">
        <f>IFERROR(SUM(Y80:Y82),"0")</f>
        <v>78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68</v>
      </c>
      <c r="Y89" s="664">
        <f>IFERROR(IF(X89="",0,CEILING((X89/$H89),1)*$H89),"")</f>
        <v>72</v>
      </c>
      <c r="Z89" s="36">
        <f>IFERROR(IF(Y89=0,"",ROUNDUP(Y89/H89,0)*0.00902),"")</f>
        <v>0.14432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71.173333333333332</v>
      </c>
      <c r="BN89" s="64">
        <f>IFERROR(Y89*I89/H89,"0")</f>
        <v>75.36</v>
      </c>
      <c r="BO89" s="64">
        <f>IFERROR(1/J89*(X89/H89),"0")</f>
        <v>0.11447811447811448</v>
      </c>
      <c r="BP89" s="64">
        <f>IFERROR(1/J89*(Y89/H89),"0")</f>
        <v>0.12121212121212122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15.111111111111111</v>
      </c>
      <c r="Y90" s="665">
        <f>IFERROR(Y87/H87,"0")+IFERROR(Y88/H88,"0")+IFERROR(Y89/H89,"0")</f>
        <v>16</v>
      </c>
      <c r="Z90" s="665">
        <f>IFERROR(IF(Z87="",0,Z87),"0")+IFERROR(IF(Z88="",0,Z88),"0")+IFERROR(IF(Z89="",0,Z89),"0")</f>
        <v>0.14432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68</v>
      </c>
      <c r="Y91" s="665">
        <f>IFERROR(SUM(Y87:Y89),"0")</f>
        <v>72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80</v>
      </c>
      <c r="Y94" s="664">
        <f t="shared" si="16"/>
        <v>84</v>
      </c>
      <c r="Z94" s="36">
        <f>IFERROR(IF(Y94=0,"",ROUNDUP(Y94/H94,0)*0.01898),"")</f>
        <v>0.1898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84.942857142857136</v>
      </c>
      <c r="BN94" s="64">
        <f t="shared" si="18"/>
        <v>89.19</v>
      </c>
      <c r="BO94" s="64">
        <f t="shared" si="19"/>
        <v>0.14880952380952381</v>
      </c>
      <c r="BP94" s="64">
        <f t="shared" si="20"/>
        <v>0.15625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59</v>
      </c>
      <c r="Y98" s="664">
        <f t="shared" si="16"/>
        <v>59.400000000000006</v>
      </c>
      <c r="Z98" s="36">
        <f>IFERROR(IF(Y98=0,"",ROUNDUP(Y98/H98,0)*0.00651),"")</f>
        <v>0.14322000000000001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64.506666666666661</v>
      </c>
      <c r="BN98" s="64">
        <f t="shared" si="18"/>
        <v>64.944000000000003</v>
      </c>
      <c r="BO98" s="64">
        <f t="shared" si="19"/>
        <v>0.12006512006512007</v>
      </c>
      <c r="BP98" s="64">
        <f t="shared" si="20"/>
        <v>0.12087912087912089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180</v>
      </c>
      <c r="Y101" s="664">
        <f t="shared" si="16"/>
        <v>180.9</v>
      </c>
      <c r="Z101" s="36">
        <f>IFERROR(IF(Y101=0,"",ROUNDUP(Y101/H101,0)*0.00902),"")</f>
        <v>0.60433999999999999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199.2</v>
      </c>
      <c r="BN101" s="64">
        <f t="shared" si="18"/>
        <v>200.196</v>
      </c>
      <c r="BO101" s="64">
        <f t="shared" si="19"/>
        <v>0.50505050505050497</v>
      </c>
      <c r="BP101" s="64">
        <f t="shared" si="20"/>
        <v>0.50757575757575757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98.042328042328023</v>
      </c>
      <c r="Y102" s="665">
        <f>IFERROR(Y93/H93,"0")+IFERROR(Y94/H94,"0")+IFERROR(Y95/H95,"0")+IFERROR(Y96/H96,"0")+IFERROR(Y97/H97,"0")+IFERROR(Y98/H98,"0")+IFERROR(Y99/H99,"0")+IFERROR(Y100/H100,"0")+IFERROR(Y101/H101,"0")</f>
        <v>99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0.93735999999999997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319</v>
      </c>
      <c r="Y103" s="665">
        <f>IFERROR(SUM(Y93:Y101),"0")</f>
        <v>324.3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200</v>
      </c>
      <c r="Y106" s="664">
        <f>IFERROR(IF(X106="",0,CEILING((X106/$H106),1)*$H106),"")</f>
        <v>205.20000000000002</v>
      </c>
      <c r="Z106" s="36">
        <f>IFERROR(IF(Y106=0,"",ROUNDUP(Y106/H106,0)*0.01898),"")</f>
        <v>0.36062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208.05555555555554</v>
      </c>
      <c r="BN106" s="64">
        <f>IFERROR(Y106*I106/H106,"0")</f>
        <v>213.46499999999997</v>
      </c>
      <c r="BO106" s="64">
        <f>IFERROR(1/J106*(X106/H106),"0")</f>
        <v>0.28935185185185186</v>
      </c>
      <c r="BP106" s="64">
        <f>IFERROR(1/J106*(Y106/H106),"0")</f>
        <v>0.296875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90</v>
      </c>
      <c r="Y108" s="664">
        <f>IFERROR(IF(X108="",0,CEILING((X108/$H108),1)*$H108),"")</f>
        <v>90</v>
      </c>
      <c r="Z108" s="36">
        <f>IFERROR(IF(Y108=0,"",ROUNDUP(Y108/H108,0)*0.00902),"")</f>
        <v>0.1804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94.199999999999989</v>
      </c>
      <c r="BN108" s="64">
        <f>IFERROR(Y108*I108/H108,"0")</f>
        <v>94.199999999999989</v>
      </c>
      <c r="BO108" s="64">
        <f>IFERROR(1/J108*(X108/H108),"0")</f>
        <v>0.15151515151515152</v>
      </c>
      <c r="BP108" s="64">
        <f>IFERROR(1/J108*(Y108/H108),"0")</f>
        <v>0.15151515151515152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38.518518518518519</v>
      </c>
      <c r="Y110" s="665">
        <f>IFERROR(Y106/H106,"0")+IFERROR(Y107/H107,"0")+IFERROR(Y108/H108,"0")+IFERROR(Y109/H109,"0")</f>
        <v>39</v>
      </c>
      <c r="Z110" s="665">
        <f>IFERROR(IF(Z106="",0,Z106),"0")+IFERROR(IF(Z107="",0,Z107),"0")+IFERROR(IF(Z108="",0,Z108),"0")+IFERROR(IF(Z109="",0,Z109),"0")</f>
        <v>0.54102000000000006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290</v>
      </c>
      <c r="Y111" s="665">
        <f>IFERROR(SUM(Y106:Y109),"0")</f>
        <v>295.20000000000005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56</v>
      </c>
      <c r="Y113" s="664">
        <f>IFERROR(IF(X113="",0,CEILING((X113/$H113),1)*$H113),"")</f>
        <v>64.800000000000011</v>
      </c>
      <c r="Z113" s="36">
        <f>IFERROR(IF(Y113=0,"",ROUNDUP(Y113/H113,0)*0.01898),"")</f>
        <v>0.11388000000000001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58.255555555555546</v>
      </c>
      <c r="BN113" s="64">
        <f>IFERROR(Y113*I113/H113,"0")</f>
        <v>67.410000000000011</v>
      </c>
      <c r="BO113" s="64">
        <f>IFERROR(1/J113*(X113/H113),"0")</f>
        <v>8.1018518518518517E-2</v>
      </c>
      <c r="BP113" s="64">
        <f>IFERROR(1/J113*(Y113/H113),"0")</f>
        <v>9.3750000000000014E-2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16</v>
      </c>
      <c r="Y115" s="664">
        <f>IFERROR(IF(X115="",0,CEILING((X115/$H115),1)*$H115),"")</f>
        <v>16.8</v>
      </c>
      <c r="Z115" s="36">
        <f>IFERROR(IF(Y115=0,"",ROUNDUP(Y115/H115,0)*0.00651),"")</f>
        <v>4.5569999999999999E-2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17.200000000000003</v>
      </c>
      <c r="BN115" s="64">
        <f>IFERROR(Y115*I115/H115,"0")</f>
        <v>18.060000000000002</v>
      </c>
      <c r="BO115" s="64">
        <f>IFERROR(1/J115*(X115/H115),"0")</f>
        <v>3.6630036630036632E-2</v>
      </c>
      <c r="BP115" s="64">
        <f>IFERROR(1/J115*(Y115/H115),"0")</f>
        <v>3.8461538461538471E-2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11.851851851851851</v>
      </c>
      <c r="Y116" s="665">
        <f>IFERROR(Y113/H113,"0")+IFERROR(Y114/H114,"0")+IFERROR(Y115/H115,"0")</f>
        <v>13.000000000000002</v>
      </c>
      <c r="Z116" s="665">
        <f>IFERROR(IF(Z113="",0,Z113),"0")+IFERROR(IF(Z114="",0,Z114),"0")+IFERROR(IF(Z115="",0,Z115),"0")</f>
        <v>0.15945000000000001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72</v>
      </c>
      <c r="Y117" s="665">
        <f>IFERROR(SUM(Y113:Y115),"0")</f>
        <v>81.600000000000009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80</v>
      </c>
      <c r="Y120" s="664">
        <f t="shared" si="21"/>
        <v>84</v>
      </c>
      <c r="Z120" s="36">
        <f>IFERROR(IF(Y120=0,"",ROUNDUP(Y120/H120,0)*0.01898),"")</f>
        <v>0.1898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84.885714285714272</v>
      </c>
      <c r="BN120" s="64">
        <f t="shared" si="23"/>
        <v>89.13</v>
      </c>
      <c r="BO120" s="64">
        <f t="shared" si="24"/>
        <v>0.14880952380952381</v>
      </c>
      <c r="BP120" s="64">
        <f t="shared" si="25"/>
        <v>0.15625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203</v>
      </c>
      <c r="Y125" s="664">
        <f t="shared" si="21"/>
        <v>205.20000000000002</v>
      </c>
      <c r="Z125" s="36">
        <f t="shared" si="26"/>
        <v>0.49476000000000003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221.94666666666663</v>
      </c>
      <c r="BN125" s="64">
        <f t="shared" si="23"/>
        <v>224.352</v>
      </c>
      <c r="BO125" s="64">
        <f t="shared" si="24"/>
        <v>0.4131054131054131</v>
      </c>
      <c r="BP125" s="64">
        <f t="shared" si="25"/>
        <v>0.4175824175824176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84.708994708994695</v>
      </c>
      <c r="Y128" s="665">
        <f>IFERROR(Y119/H119,"0")+IFERROR(Y120/H120,"0")+IFERROR(Y121/H121,"0")+IFERROR(Y122/H122,"0")+IFERROR(Y123/H123,"0")+IFERROR(Y124/H124,"0")+IFERROR(Y125/H125,"0")+IFERROR(Y126/H126,"0")+IFERROR(Y127/H127,"0")</f>
        <v>86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0.68456000000000006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283</v>
      </c>
      <c r="Y129" s="665">
        <f>IFERROR(SUM(Y119:Y127),"0")</f>
        <v>289.20000000000005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82</v>
      </c>
      <c r="Y176" s="664">
        <f t="shared" si="27"/>
        <v>84</v>
      </c>
      <c r="Z176" s="36">
        <f>IFERROR(IF(Y176=0,"",ROUNDUP(Y176/H176,0)*0.00902),"")</f>
        <v>0.1804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86.1</v>
      </c>
      <c r="BN176" s="64">
        <f t="shared" si="29"/>
        <v>88.199999999999989</v>
      </c>
      <c r="BO176" s="64">
        <f t="shared" si="30"/>
        <v>0.1479076479076479</v>
      </c>
      <c r="BP176" s="64">
        <f t="shared" si="31"/>
        <v>0.15151515151515152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53</v>
      </c>
      <c r="Y177" s="664">
        <f t="shared" si="27"/>
        <v>54.6</v>
      </c>
      <c r="Z177" s="36">
        <f>IFERROR(IF(Y177=0,"",ROUNDUP(Y177/H177,0)*0.00502),"")</f>
        <v>0.13052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56.280952380952378</v>
      </c>
      <c r="BN177" s="64">
        <f t="shared" si="29"/>
        <v>57.98</v>
      </c>
      <c r="BO177" s="64">
        <f t="shared" si="30"/>
        <v>0.10785510785510787</v>
      </c>
      <c r="BP177" s="64">
        <f t="shared" si="31"/>
        <v>0.11111111111111112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140</v>
      </c>
      <c r="Y180" s="664">
        <f t="shared" si="27"/>
        <v>140.70000000000002</v>
      </c>
      <c r="Z180" s="36">
        <f>IFERROR(IF(Y180=0,"",ROUNDUP(Y180/H180,0)*0.00502),"")</f>
        <v>0.33634000000000003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146.66666666666666</v>
      </c>
      <c r="BN180" s="64">
        <f t="shared" si="29"/>
        <v>147.40000000000003</v>
      </c>
      <c r="BO180" s="64">
        <f t="shared" si="30"/>
        <v>0.28490028490028491</v>
      </c>
      <c r="BP180" s="64">
        <f t="shared" si="31"/>
        <v>0.28632478632478636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111.42857142857142</v>
      </c>
      <c r="Y183" s="665">
        <f>IFERROR(Y174/H174,"0")+IFERROR(Y175/H175,"0")+IFERROR(Y176/H176,"0")+IFERROR(Y177/H177,"0")+IFERROR(Y178/H178,"0")+IFERROR(Y179/H179,"0")+IFERROR(Y180/H180,"0")+IFERROR(Y181/H181,"0")+IFERROR(Y182/H182,"0")</f>
        <v>113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0.64725999999999995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275</v>
      </c>
      <c r="Y184" s="665">
        <f>IFERROR(SUM(Y174:Y182),"0")</f>
        <v>279.3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8</v>
      </c>
      <c r="Y197" s="664">
        <f>IFERROR(IF(X197="",0,CEILING((X197/$H197),1)*$H197),"")</f>
        <v>8.4</v>
      </c>
      <c r="Z197" s="36">
        <f>IFERROR(IF(Y197=0,"",ROUNDUP(Y197/H197,0)*0.00651),"")</f>
        <v>2.6040000000000001E-2</v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8.6857142857142851</v>
      </c>
      <c r="BN197" s="64">
        <f>IFERROR(Y197*I197/H197,"0")</f>
        <v>9.1199999999999992</v>
      </c>
      <c r="BO197" s="64">
        <f>IFERROR(1/J197*(X197/H197),"0")</f>
        <v>2.0931449502878074E-2</v>
      </c>
      <c r="BP197" s="64">
        <f>IFERROR(1/J197*(Y197/H197),"0")</f>
        <v>2.197802197802198E-2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3.8095238095238093</v>
      </c>
      <c r="Y198" s="665">
        <f>IFERROR(Y196/H196,"0")+IFERROR(Y197/H197,"0")</f>
        <v>4</v>
      </c>
      <c r="Z198" s="665">
        <f>IFERROR(IF(Z196="",0,Z196),"0")+IFERROR(IF(Z197="",0,Z197),"0")</f>
        <v>2.6040000000000001E-2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8</v>
      </c>
      <c r="Y199" s="665">
        <f>IFERROR(SUM(Y196:Y197),"0")</f>
        <v>8.4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250</v>
      </c>
      <c r="Y201" s="664">
        <f t="shared" ref="Y201:Y208" si="32">IFERROR(IF(X201="",0,CEILING((X201/$H201),1)*$H201),"")</f>
        <v>253.8</v>
      </c>
      <c r="Z201" s="36">
        <f>IFERROR(IF(Y201=0,"",ROUNDUP(Y201/H201,0)*0.00902),"")</f>
        <v>0.42393999999999998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259.72222222222223</v>
      </c>
      <c r="BN201" s="64">
        <f t="shared" ref="BN201:BN208" si="34">IFERROR(Y201*I201/H201,"0")</f>
        <v>263.67</v>
      </c>
      <c r="BO201" s="64">
        <f t="shared" ref="BO201:BO208" si="35">IFERROR(1/J201*(X201/H201),"0")</f>
        <v>0.35072951739618402</v>
      </c>
      <c r="BP201" s="64">
        <f t="shared" ref="BP201:BP208" si="36">IFERROR(1/J201*(Y201/H201),"0")</f>
        <v>0.35606060606060608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400</v>
      </c>
      <c r="Y202" s="664">
        <f t="shared" si="32"/>
        <v>405</v>
      </c>
      <c r="Z202" s="36">
        <f>IFERROR(IF(Y202=0,"",ROUNDUP(Y202/H202,0)*0.00902),"")</f>
        <v>0.67649999999999999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415.55555555555554</v>
      </c>
      <c r="BN202" s="64">
        <f t="shared" si="34"/>
        <v>420.75</v>
      </c>
      <c r="BO202" s="64">
        <f t="shared" si="35"/>
        <v>0.5611672278338945</v>
      </c>
      <c r="BP202" s="64">
        <f t="shared" si="36"/>
        <v>0.56818181818181823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330</v>
      </c>
      <c r="Y204" s="664">
        <f t="shared" si="32"/>
        <v>334.8</v>
      </c>
      <c r="Z204" s="36">
        <f>IFERROR(IF(Y204=0,"",ROUNDUP(Y204/H204,0)*0.00902),"")</f>
        <v>0.55923999999999996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342.83333333333337</v>
      </c>
      <c r="BN204" s="64">
        <f t="shared" si="34"/>
        <v>347.82</v>
      </c>
      <c r="BO204" s="64">
        <f t="shared" si="35"/>
        <v>0.46296296296296297</v>
      </c>
      <c r="BP204" s="64">
        <f t="shared" si="36"/>
        <v>0.46969696969696972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28</v>
      </c>
      <c r="Y205" s="664">
        <f t="shared" si="32"/>
        <v>28.8</v>
      </c>
      <c r="Z205" s="36">
        <f>IFERROR(IF(Y205=0,"",ROUNDUP(Y205/H205,0)*0.00502),"")</f>
        <v>8.0320000000000003E-2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30.022222222222222</v>
      </c>
      <c r="BN205" s="64">
        <f t="shared" si="34"/>
        <v>30.879999999999995</v>
      </c>
      <c r="BO205" s="64">
        <f t="shared" si="35"/>
        <v>6.6476733143399816E-2</v>
      </c>
      <c r="BP205" s="64">
        <f t="shared" si="36"/>
        <v>6.8376068376068383E-2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16</v>
      </c>
      <c r="Y206" s="664">
        <f t="shared" si="32"/>
        <v>16.2</v>
      </c>
      <c r="Z206" s="36">
        <f>IFERROR(IF(Y206=0,"",ROUNDUP(Y206/H206,0)*0.00502),"")</f>
        <v>4.5179999999999998E-2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16.888888888888889</v>
      </c>
      <c r="BN206" s="64">
        <f t="shared" si="34"/>
        <v>17.099999999999998</v>
      </c>
      <c r="BO206" s="64">
        <f t="shared" si="35"/>
        <v>3.7986704653371325E-2</v>
      </c>
      <c r="BP206" s="64">
        <f t="shared" si="36"/>
        <v>3.8461538461538464E-2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15</v>
      </c>
      <c r="Y208" s="664">
        <f t="shared" si="32"/>
        <v>16.2</v>
      </c>
      <c r="Z208" s="36">
        <f>IFERROR(IF(Y208=0,"",ROUNDUP(Y208/H208,0)*0.00502),"")</f>
        <v>4.5179999999999998E-2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15.833333333333332</v>
      </c>
      <c r="BN208" s="64">
        <f t="shared" si="34"/>
        <v>17.099999999999998</v>
      </c>
      <c r="BO208" s="64">
        <f t="shared" si="35"/>
        <v>3.561253561253562E-2</v>
      </c>
      <c r="BP208" s="64">
        <f t="shared" si="36"/>
        <v>3.8461538461538464E-2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214.25925925925924</v>
      </c>
      <c r="Y209" s="665">
        <f>IFERROR(Y201/H201,"0")+IFERROR(Y202/H202,"0")+IFERROR(Y203/H203,"0")+IFERROR(Y204/H204,"0")+IFERROR(Y205/H205,"0")+IFERROR(Y206/H206,"0")+IFERROR(Y207/H207,"0")+IFERROR(Y208/H208,"0")</f>
        <v>218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1.8303599999999998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1039</v>
      </c>
      <c r="Y210" s="665">
        <f>IFERROR(SUM(Y201:Y208),"0")</f>
        <v>1054.8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200</v>
      </c>
      <c r="Y214" s="664">
        <f t="shared" si="37"/>
        <v>200.1</v>
      </c>
      <c r="Z214" s="36">
        <f>IFERROR(IF(Y214=0,"",ROUNDUP(Y214/H214,0)*0.01898),"")</f>
        <v>0.43653999999999998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211.93103448275863</v>
      </c>
      <c r="BN214" s="64">
        <f t="shared" si="39"/>
        <v>212.03699999999998</v>
      </c>
      <c r="BO214" s="64">
        <f t="shared" si="40"/>
        <v>0.35919540229885061</v>
      </c>
      <c r="BP214" s="64">
        <f t="shared" si="41"/>
        <v>0.359375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80</v>
      </c>
      <c r="Y215" s="664">
        <f t="shared" si="37"/>
        <v>81.599999999999994</v>
      </c>
      <c r="Z215" s="36">
        <f t="shared" ref="Z215:Z220" si="42">IFERROR(IF(Y215=0,"",ROUNDUP(Y215/H215,0)*0.00651),"")</f>
        <v>0.22134000000000001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89</v>
      </c>
      <c r="BN215" s="64">
        <f t="shared" si="39"/>
        <v>90.78</v>
      </c>
      <c r="BO215" s="64">
        <f t="shared" si="40"/>
        <v>0.18315018315018317</v>
      </c>
      <c r="BP215" s="64">
        <f t="shared" si="41"/>
        <v>0.18681318681318682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260</v>
      </c>
      <c r="Y217" s="664">
        <f t="shared" si="37"/>
        <v>261.59999999999997</v>
      </c>
      <c r="Z217" s="36">
        <f t="shared" si="42"/>
        <v>0.70959000000000005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287.3</v>
      </c>
      <c r="BN217" s="64">
        <f t="shared" si="39"/>
        <v>289.06799999999998</v>
      </c>
      <c r="BO217" s="64">
        <f t="shared" si="40"/>
        <v>0.59523809523809534</v>
      </c>
      <c r="BP217" s="64">
        <f t="shared" si="41"/>
        <v>0.59890109890109888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440</v>
      </c>
      <c r="Y218" s="664">
        <f t="shared" si="37"/>
        <v>441.59999999999997</v>
      </c>
      <c r="Z218" s="36">
        <f t="shared" si="42"/>
        <v>1.19784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486.20000000000005</v>
      </c>
      <c r="BN218" s="64">
        <f t="shared" si="39"/>
        <v>487.96800000000002</v>
      </c>
      <c r="BO218" s="64">
        <f t="shared" si="40"/>
        <v>1.0073260073260075</v>
      </c>
      <c r="BP218" s="64">
        <f t="shared" si="41"/>
        <v>1.0109890109890112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5</v>
      </c>
      <c r="Y219" s="664">
        <f t="shared" si="37"/>
        <v>7.1999999999999993</v>
      </c>
      <c r="Z219" s="36">
        <f t="shared" si="42"/>
        <v>1.9529999999999999E-2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5.5250000000000012</v>
      </c>
      <c r="BN219" s="64">
        <f t="shared" si="39"/>
        <v>7.9560000000000004</v>
      </c>
      <c r="BO219" s="64">
        <f t="shared" si="40"/>
        <v>1.1446886446886448E-2</v>
      </c>
      <c r="BP219" s="64">
        <f t="shared" si="41"/>
        <v>1.6483516483516484E-2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100</v>
      </c>
      <c r="Y220" s="664">
        <f t="shared" si="37"/>
        <v>100.8</v>
      </c>
      <c r="Z220" s="36">
        <f t="shared" si="42"/>
        <v>0.27342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110.75000000000001</v>
      </c>
      <c r="BN220" s="64">
        <f t="shared" si="39"/>
        <v>111.63600000000001</v>
      </c>
      <c r="BO220" s="64">
        <f t="shared" si="40"/>
        <v>0.22893772893772898</v>
      </c>
      <c r="BP220" s="64">
        <f t="shared" si="41"/>
        <v>0.23076923076923078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391.73850574712645</v>
      </c>
      <c r="Y221" s="665">
        <f>IFERROR(Y212/H212,"0")+IFERROR(Y213/H213,"0")+IFERROR(Y214/H214,"0")+IFERROR(Y215/H215,"0")+IFERROR(Y216/H216,"0")+IFERROR(Y217/H217,"0")+IFERROR(Y218/H218,"0")+IFERROR(Y219/H219,"0")+IFERROR(Y220/H220,"0")</f>
        <v>395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2.8582600000000005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1085</v>
      </c>
      <c r="Y222" s="665">
        <f>IFERROR(SUM(Y212:Y220),"0")</f>
        <v>1092.8999999999999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22</v>
      </c>
      <c r="Y224" s="664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24.310000000000002</v>
      </c>
      <c r="BN224" s="64">
        <f>IFERROR(Y224*I224/H224,"0")</f>
        <v>26.520000000000003</v>
      </c>
      <c r="BO224" s="64">
        <f>IFERROR(1/J224*(X224/H224),"0")</f>
        <v>5.0366300366300375E-2</v>
      </c>
      <c r="BP224" s="64">
        <f>IFERROR(1/J224*(Y224/H224),"0")</f>
        <v>5.4945054945054951E-2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2</v>
      </c>
      <c r="Y225" s="664">
        <f>IFERROR(IF(X225="",0,CEILING((X225/$H225),1)*$H225),"")</f>
        <v>2.4</v>
      </c>
      <c r="Z225" s="36">
        <f>IFERROR(IF(Y225=0,"",ROUNDUP(Y225/H225,0)*0.00651),"")</f>
        <v>6.5100000000000002E-3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2.2100000000000004</v>
      </c>
      <c r="BN225" s="64">
        <f>IFERROR(Y225*I225/H225,"0")</f>
        <v>2.6520000000000001</v>
      </c>
      <c r="BO225" s="64">
        <f>IFERROR(1/J225*(X225/H225),"0")</f>
        <v>4.578754578754579E-3</v>
      </c>
      <c r="BP225" s="64">
        <f>IFERROR(1/J225*(Y225/H225),"0")</f>
        <v>5.4945054945054949E-3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10.000000000000002</v>
      </c>
      <c r="Y226" s="665">
        <f>IFERROR(Y224/H224,"0")+IFERROR(Y225/H225,"0")</f>
        <v>11</v>
      </c>
      <c r="Z226" s="665">
        <f>IFERROR(IF(Z224="",0,Z224),"0")+IFERROR(IF(Z225="",0,Z225),"0")</f>
        <v>7.1610000000000007E-2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24</v>
      </c>
      <c r="Y227" s="665">
        <f>IFERROR(SUM(Y224:Y225),"0")</f>
        <v>26.4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10</v>
      </c>
      <c r="Y246" s="664">
        <f>IFERROR(IF(X246="",0,CEILING((X246/$H246),1)*$H246),"")</f>
        <v>10.8</v>
      </c>
      <c r="Z246" s="36">
        <f>IFERROR(IF(Y246=0,"",ROUNDUP(Y246/H246,0)*0.0059),"")</f>
        <v>2.9499999999999998E-2</v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10.87962962962963</v>
      </c>
      <c r="BN246" s="64">
        <f>IFERROR(Y246*I246/H246,"0")</f>
        <v>11.75</v>
      </c>
      <c r="BO246" s="64">
        <f>IFERROR(1/J246*(X246/H246),"0")</f>
        <v>2.1433470507544582E-2</v>
      </c>
      <c r="BP246" s="64">
        <f>IFERROR(1/J246*(Y246/H246),"0")</f>
        <v>2.3148148148148147E-2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4.6296296296296298</v>
      </c>
      <c r="Y247" s="665">
        <f>IFERROR(Y246/H246,"0")</f>
        <v>5</v>
      </c>
      <c r="Z247" s="665">
        <f>IFERROR(IF(Z246="",0,Z246),"0")</f>
        <v>2.9499999999999998E-2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10</v>
      </c>
      <c r="Y248" s="665">
        <f>IFERROR(SUM(Y246:Y246),"0")</f>
        <v>10.8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72</v>
      </c>
      <c r="Y279" s="664">
        <f>IFERROR(IF(X279="",0,CEILING((X279/$H279),1)*$H279),"")</f>
        <v>72</v>
      </c>
      <c r="Z279" s="36">
        <f>IFERROR(IF(Y279=0,"",ROUNDUP(Y279/H279,0)*0.00651),"")</f>
        <v>0.1953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79.560000000000016</v>
      </c>
      <c r="BN279" s="64">
        <f>IFERROR(Y279*I279/H279,"0")</f>
        <v>79.560000000000016</v>
      </c>
      <c r="BO279" s="64">
        <f>IFERROR(1/J279*(X279/H279),"0")</f>
        <v>0.16483516483516486</v>
      </c>
      <c r="BP279" s="64">
        <f>IFERROR(1/J279*(Y279/H279),"0")</f>
        <v>0.16483516483516486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56</v>
      </c>
      <c r="Y280" s="664">
        <f>IFERROR(IF(X280="",0,CEILING((X280/$H280),1)*$H280),"")</f>
        <v>57.599999999999994</v>
      </c>
      <c r="Z280" s="36">
        <f>IFERROR(IF(Y280=0,"",ROUNDUP(Y280/H280,0)*0.00651),"")</f>
        <v>0.15623999999999999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60.20000000000001</v>
      </c>
      <c r="BN280" s="64">
        <f>IFERROR(Y280*I280/H280,"0")</f>
        <v>61.919999999999995</v>
      </c>
      <c r="BO280" s="64">
        <f>IFERROR(1/J280*(X280/H280),"0")</f>
        <v>0.12820512820512822</v>
      </c>
      <c r="BP280" s="64">
        <f>IFERROR(1/J280*(Y280/H280),"0")</f>
        <v>0.13186813186813187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53.333333333333336</v>
      </c>
      <c r="Y282" s="665">
        <f>IFERROR(Y277/H277,"0")+IFERROR(Y278/H278,"0")+IFERROR(Y279/H279,"0")+IFERROR(Y280/H280,"0")+IFERROR(Y281/H281,"0")</f>
        <v>54</v>
      </c>
      <c r="Z282" s="665">
        <f>IFERROR(IF(Z277="",0,Z277),"0")+IFERROR(IF(Z278="",0,Z278),"0")+IFERROR(IF(Z279="",0,Z279),"0")+IFERROR(IF(Z280="",0,Z280),"0")+IFERROR(IF(Z281="",0,Z281),"0")</f>
        <v>0.35153999999999996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128</v>
      </c>
      <c r="Y283" s="665">
        <f>IFERROR(SUM(Y277:Y281),"0")</f>
        <v>129.6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50</v>
      </c>
      <c r="Y343" s="664">
        <f>IFERROR(IF(X343="",0,CEILING((X343/$H343),1)*$H343),"")</f>
        <v>50.400000000000006</v>
      </c>
      <c r="Z343" s="36">
        <f>IFERROR(IF(Y343=0,"",ROUNDUP(Y343/H343,0)*0.01898),"")</f>
        <v>0.11388000000000001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53.089285714285715</v>
      </c>
      <c r="BN343" s="64">
        <f>IFERROR(Y343*I343/H343,"0")</f>
        <v>53.514000000000003</v>
      </c>
      <c r="BO343" s="64">
        <f>IFERROR(1/J343*(X343/H343),"0")</f>
        <v>9.3005952380952384E-2</v>
      </c>
      <c r="BP343" s="64">
        <f>IFERROR(1/J343*(Y343/H343),"0")</f>
        <v>9.375E-2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90</v>
      </c>
      <c r="Y344" s="664">
        <f>IFERROR(IF(X344="",0,CEILING((X344/$H344),1)*$H344),"")</f>
        <v>93.6</v>
      </c>
      <c r="Z344" s="36">
        <f>IFERROR(IF(Y344=0,"",ROUNDUP(Y344/H344,0)*0.01898),"")</f>
        <v>0.22776000000000002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95.98846153846155</v>
      </c>
      <c r="BN344" s="64">
        <f>IFERROR(Y344*I344/H344,"0")</f>
        <v>99.828000000000003</v>
      </c>
      <c r="BO344" s="64">
        <f>IFERROR(1/J344*(X344/H344),"0")</f>
        <v>0.18028846153846154</v>
      </c>
      <c r="BP344" s="64">
        <f>IFERROR(1/J344*(Y344/H344),"0")</f>
        <v>0.1875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170</v>
      </c>
      <c r="Y345" s="664">
        <f>IFERROR(IF(X345="",0,CEILING((X345/$H345),1)*$H345),"")</f>
        <v>176.4</v>
      </c>
      <c r="Z345" s="36">
        <f>IFERROR(IF(Y345=0,"",ROUNDUP(Y345/H345,0)*0.01898),"")</f>
        <v>0.39857999999999999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180.50357142857143</v>
      </c>
      <c r="BN345" s="64">
        <f>IFERROR(Y345*I345/H345,"0")</f>
        <v>187.29900000000001</v>
      </c>
      <c r="BO345" s="64">
        <f>IFERROR(1/J345*(X345/H345),"0")</f>
        <v>0.31622023809523808</v>
      </c>
      <c r="BP345" s="64">
        <f>IFERROR(1/J345*(Y345/H345),"0")</f>
        <v>0.328125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37.728937728937723</v>
      </c>
      <c r="Y346" s="665">
        <f>IFERROR(Y343/H343,"0")+IFERROR(Y344/H344,"0")+IFERROR(Y345/H345,"0")</f>
        <v>39</v>
      </c>
      <c r="Z346" s="665">
        <f>IFERROR(IF(Z343="",0,Z343),"0")+IFERROR(IF(Z344="",0,Z344),"0")+IFERROR(IF(Z345="",0,Z345),"0")</f>
        <v>0.7402200000000001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310</v>
      </c>
      <c r="Y347" s="665">
        <f>IFERROR(SUM(Y343:Y345),"0")</f>
        <v>320.39999999999998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25</v>
      </c>
      <c r="Y352" s="664">
        <f>IFERROR(IF(X352="",0,CEILING((X352/$H352),1)*$H352),"")</f>
        <v>25.5</v>
      </c>
      <c r="Z352" s="36">
        <f>IFERROR(IF(Y352=0,"",ROUNDUP(Y352/H352,0)*0.00651),"")</f>
        <v>6.5100000000000005E-2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28.235294117647062</v>
      </c>
      <c r="BN352" s="64">
        <f>IFERROR(Y352*I352/H352,"0")</f>
        <v>28.8</v>
      </c>
      <c r="BO352" s="64">
        <f>IFERROR(1/J352*(X352/H352),"0")</f>
        <v>5.3867700926524466E-2</v>
      </c>
      <c r="BP352" s="64">
        <f>IFERROR(1/J352*(Y352/H352),"0")</f>
        <v>5.4945054945054951E-2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9.8039215686274517</v>
      </c>
      <c r="Y353" s="665">
        <f>IFERROR(Y349/H349,"0")+IFERROR(Y350/H350,"0")+IFERROR(Y351/H351,"0")+IFERROR(Y352/H352,"0")</f>
        <v>10</v>
      </c>
      <c r="Z353" s="665">
        <f>IFERROR(IF(Z349="",0,Z349),"0")+IFERROR(IF(Z350="",0,Z350),"0")+IFERROR(IF(Z351="",0,Z351),"0")+IFERROR(IF(Z352="",0,Z352),"0")</f>
        <v>6.5100000000000005E-2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25</v>
      </c>
      <c r="Y354" s="665">
        <f>IFERROR(SUM(Y349:Y352),"0")</f>
        <v>25.5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27</v>
      </c>
      <c r="Y363" s="664">
        <f>IFERROR(IF(X363="",0,CEILING((X363/$H363),1)*$H363),"")</f>
        <v>27</v>
      </c>
      <c r="Z363" s="36">
        <f>IFERROR(IF(Y363=0,"",ROUNDUP(Y363/H363,0)*0.00651),"")</f>
        <v>9.7650000000000001E-2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30.419999999999998</v>
      </c>
      <c r="BN363" s="64">
        <f>IFERROR(Y363*I363/H363,"0")</f>
        <v>30.419999999999998</v>
      </c>
      <c r="BO363" s="64">
        <f>IFERROR(1/J363*(X363/H363),"0")</f>
        <v>8.241758241758243E-2</v>
      </c>
      <c r="BP363" s="64">
        <f>IFERROR(1/J363*(Y363/H363),"0")</f>
        <v>8.241758241758243E-2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15</v>
      </c>
      <c r="Y364" s="665">
        <f>IFERROR(Y363/H363,"0")</f>
        <v>15</v>
      </c>
      <c r="Z364" s="665">
        <f>IFERROR(IF(Z363="",0,Z363),"0")</f>
        <v>9.7650000000000001E-2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27</v>
      </c>
      <c r="Y365" s="665">
        <f>IFERROR(SUM(Y363:Y363),"0")</f>
        <v>27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14</v>
      </c>
      <c r="Y367" s="664">
        <f>IFERROR(IF(X367="",0,CEILING((X367/$H367),1)*$H367),"")</f>
        <v>16.2</v>
      </c>
      <c r="Z367" s="36">
        <f>IFERROR(IF(Y367=0,"",ROUNDUP(Y367/H367,0)*0.01898),"")</f>
        <v>3.7960000000000001E-2</v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14.897037037037038</v>
      </c>
      <c r="BN367" s="64">
        <f>IFERROR(Y367*I367/H367,"0")</f>
        <v>17.238</v>
      </c>
      <c r="BO367" s="64">
        <f>IFERROR(1/J367*(X367/H367),"0")</f>
        <v>2.7006172839506175E-2</v>
      </c>
      <c r="BP367" s="64">
        <f>IFERROR(1/J367*(Y367/H367),"0")</f>
        <v>3.125E-2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1.7283950617283952</v>
      </c>
      <c r="Y370" s="665">
        <f>IFERROR(Y367/H367,"0")+IFERROR(Y368/H368,"0")+IFERROR(Y369/H369,"0")</f>
        <v>2</v>
      </c>
      <c r="Z370" s="665">
        <f>IFERROR(IF(Z367="",0,Z367),"0")+IFERROR(IF(Z368="",0,Z368),"0")+IFERROR(IF(Z369="",0,Z369),"0")</f>
        <v>3.7960000000000001E-2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14</v>
      </c>
      <c r="Y371" s="665">
        <f>IFERROR(SUM(Y367:Y369),"0")</f>
        <v>16.2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500</v>
      </c>
      <c r="Y375" s="664">
        <f t="shared" ref="Y375:Y384" si="58">IFERROR(IF(X375="",0,CEILING((X375/$H375),1)*$H375),"")</f>
        <v>510</v>
      </c>
      <c r="Z375" s="36">
        <f>IFERROR(IF(Y375=0,"",ROUNDUP(Y375/H375,0)*0.02175),"")</f>
        <v>0.73949999999999994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516</v>
      </c>
      <c r="BN375" s="64">
        <f t="shared" ref="BN375:BN384" si="60">IFERROR(Y375*I375/H375,"0")</f>
        <v>526.32000000000005</v>
      </c>
      <c r="BO375" s="64">
        <f t="shared" ref="BO375:BO384" si="61">IFERROR(1/J375*(X375/H375),"0")</f>
        <v>0.69444444444444442</v>
      </c>
      <c r="BP375" s="64">
        <f t="shared" ref="BP375:BP384" si="62">IFERROR(1/J375*(Y375/H375),"0")</f>
        <v>0.70833333333333326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350</v>
      </c>
      <c r="Y380" s="664">
        <f t="shared" si="58"/>
        <v>360</v>
      </c>
      <c r="Z380" s="36">
        <f>IFERROR(IF(Y380=0,"",ROUNDUP(Y380/H380,0)*0.02175),"")</f>
        <v>0.52200000000000002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361.2</v>
      </c>
      <c r="BN380" s="64">
        <f t="shared" si="60"/>
        <v>371.52000000000004</v>
      </c>
      <c r="BO380" s="64">
        <f t="shared" si="61"/>
        <v>0.48611111111111105</v>
      </c>
      <c r="BP380" s="64">
        <f t="shared" si="62"/>
        <v>0.5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56.666666666666671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58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1.2614999999999998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850</v>
      </c>
      <c r="Y386" s="665">
        <f>IFERROR(SUM(Y375:Y384),"0")</f>
        <v>870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26</v>
      </c>
      <c r="Y394" s="664">
        <f>IFERROR(IF(X394="",0,CEILING((X394/$H394),1)*$H394),"")</f>
        <v>27</v>
      </c>
      <c r="Z394" s="36">
        <f>IFERROR(IF(Y394=0,"",ROUNDUP(Y394/H394,0)*0.01898),"")</f>
        <v>5.6940000000000004E-2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27.499333333333333</v>
      </c>
      <c r="BN394" s="64">
        <f>IFERROR(Y394*I394/H394,"0")</f>
        <v>28.556999999999999</v>
      </c>
      <c r="BO394" s="64">
        <f>IFERROR(1/J394*(X394/H394),"0")</f>
        <v>4.5138888888888888E-2</v>
      </c>
      <c r="BP394" s="64">
        <f>IFERROR(1/J394*(Y394/H394),"0")</f>
        <v>4.6875E-2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2.8888888888888888</v>
      </c>
      <c r="Y395" s="665">
        <f>IFERROR(Y393/H393,"0")+IFERROR(Y394/H394,"0")</f>
        <v>3</v>
      </c>
      <c r="Z395" s="665">
        <f>IFERROR(IF(Z393="",0,Z393),"0")+IFERROR(IF(Z394="",0,Z394),"0")</f>
        <v>5.6940000000000004E-2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26</v>
      </c>
      <c r="Y396" s="665">
        <f>IFERROR(SUM(Y393:Y394),"0")</f>
        <v>27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80</v>
      </c>
      <c r="Y398" s="664">
        <f>IFERROR(IF(X398="",0,CEILING((X398/$H398),1)*$H398),"")</f>
        <v>81</v>
      </c>
      <c r="Z398" s="36">
        <f>IFERROR(IF(Y398=0,"",ROUNDUP(Y398/H398,0)*0.01898),"")</f>
        <v>0.17082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84.61333333333333</v>
      </c>
      <c r="BN398" s="64">
        <f>IFERROR(Y398*I398/H398,"0")</f>
        <v>85.670999999999992</v>
      </c>
      <c r="BO398" s="64">
        <f>IFERROR(1/J398*(X398/H398),"0")</f>
        <v>0.1388888888888889</v>
      </c>
      <c r="BP398" s="64">
        <f>IFERROR(1/J398*(Y398/H398),"0")</f>
        <v>0.140625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8.8888888888888893</v>
      </c>
      <c r="Y399" s="665">
        <f>IFERROR(Y398/H398,"0")</f>
        <v>9</v>
      </c>
      <c r="Z399" s="665">
        <f>IFERROR(IF(Z398="",0,Z398),"0")</f>
        <v>0.17082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80</v>
      </c>
      <c r="Y400" s="665">
        <f>IFERROR(SUM(Y398:Y398),"0")</f>
        <v>81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4</v>
      </c>
      <c r="Y430" s="664">
        <f t="shared" ref="Y430:Y441" si="63">IFERROR(IF(X430="",0,CEILING((X430/$H430),1)*$H430),"")</f>
        <v>5.4</v>
      </c>
      <c r="Z430" s="36">
        <f>IFERROR(IF(Y430=0,"",ROUNDUP(Y430/H430,0)*0.00902),"")</f>
        <v>9.0200000000000002E-3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4.1555555555555559</v>
      </c>
      <c r="BN430" s="64">
        <f t="shared" ref="BN430:BN441" si="65">IFERROR(Y430*I430/H430,"0")</f>
        <v>5.61</v>
      </c>
      <c r="BO430" s="64">
        <f t="shared" ref="BO430:BO441" si="66">IFERROR(1/J430*(X430/H430),"0")</f>
        <v>5.6116722783389446E-3</v>
      </c>
      <c r="BP430" s="64">
        <f t="shared" ref="BP430:BP441" si="67">IFERROR(1/J430*(Y430/H430),"0")</f>
        <v>7.575757575757576E-3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0.7407407407407407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9.0200000000000002E-3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4</v>
      </c>
      <c r="Y443" s="665">
        <f>IFERROR(SUM(Y430:Y441),"0")</f>
        <v>5.4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50</v>
      </c>
      <c r="Y480" s="664">
        <f t="shared" ref="Y480:Y494" si="69">IFERROR(IF(X480="",0,CEILING((X480/$H480),1)*$H480),"")</f>
        <v>52.800000000000004</v>
      </c>
      <c r="Z480" s="36">
        <f>IFERROR(IF(Y480=0,"",ROUNDUP(Y480/H480,0)*0.01196),"")</f>
        <v>0.1196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53.409090909090907</v>
      </c>
      <c r="BN480" s="64">
        <f t="shared" ref="BN480:BN494" si="71">IFERROR(Y480*I480/H480,"0")</f>
        <v>56.400000000000006</v>
      </c>
      <c r="BO480" s="64">
        <f t="shared" ref="BO480:BO494" si="72">IFERROR(1/J480*(X480/H480),"0")</f>
        <v>9.1054778554778545E-2</v>
      </c>
      <c r="BP480" s="64">
        <f t="shared" ref="BP480:BP494" si="73">IFERROR(1/J480*(Y480/H480),"0")</f>
        <v>9.6153846153846159E-2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50</v>
      </c>
      <c r="Y481" s="664">
        <f t="shared" si="69"/>
        <v>52.800000000000004</v>
      </c>
      <c r="Z481" s="36">
        <f>IFERROR(IF(Y481=0,"",ROUNDUP(Y481/H481,0)*0.01196),"")</f>
        <v>0.1196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53.409090909090907</v>
      </c>
      <c r="BN481" s="64">
        <f t="shared" si="71"/>
        <v>56.400000000000006</v>
      </c>
      <c r="BO481" s="64">
        <f t="shared" si="72"/>
        <v>9.1054778554778545E-2</v>
      </c>
      <c r="BP481" s="64">
        <f t="shared" si="73"/>
        <v>9.6153846153846159E-2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200</v>
      </c>
      <c r="Y482" s="664">
        <f t="shared" si="69"/>
        <v>200.64000000000001</v>
      </c>
      <c r="Z482" s="36">
        <f>IFERROR(IF(Y482=0,"",ROUNDUP(Y482/H482,0)*0.01196),"")</f>
        <v>0.45448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213.63636363636363</v>
      </c>
      <c r="BN482" s="64">
        <f t="shared" si="71"/>
        <v>214.32</v>
      </c>
      <c r="BO482" s="64">
        <f t="shared" si="72"/>
        <v>0.36421911421911418</v>
      </c>
      <c r="BP482" s="64">
        <f t="shared" si="73"/>
        <v>0.36538461538461542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56.818181818181813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58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0.69367999999999996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300</v>
      </c>
      <c r="Y496" s="665">
        <f>IFERROR(SUM(Y480:Y494),"0")</f>
        <v>306.24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150</v>
      </c>
      <c r="Y498" s="664">
        <f>IFERROR(IF(X498="",0,CEILING((X498/$H498),1)*$H498),"")</f>
        <v>153.12</v>
      </c>
      <c r="Z498" s="36">
        <f>IFERROR(IF(Y498=0,"",ROUNDUP(Y498/H498,0)*0.01196),"")</f>
        <v>0.34683999999999998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160.22727272727272</v>
      </c>
      <c r="BN498" s="64">
        <f>IFERROR(Y498*I498/H498,"0")</f>
        <v>163.56</v>
      </c>
      <c r="BO498" s="64">
        <f>IFERROR(1/J498*(X498/H498),"0")</f>
        <v>0.27316433566433568</v>
      </c>
      <c r="BP498" s="64">
        <f>IFERROR(1/J498*(Y498/H498),"0")</f>
        <v>0.27884615384615385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28.409090909090907</v>
      </c>
      <c r="Y502" s="665">
        <f>IFERROR(Y498/H498,"0")+IFERROR(Y499/H499,"0")+IFERROR(Y500/H500,"0")+IFERROR(Y501/H501,"0")</f>
        <v>29</v>
      </c>
      <c r="Z502" s="665">
        <f>IFERROR(IF(Z498="",0,Z498),"0")+IFERROR(IF(Z499="",0,Z499),"0")+IFERROR(IF(Z500="",0,Z500),"0")+IFERROR(IF(Z501="",0,Z501),"0")</f>
        <v>0.34683999999999998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150</v>
      </c>
      <c r="Y503" s="665">
        <f>IFERROR(SUM(Y498:Y501),"0")</f>
        <v>153.12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80</v>
      </c>
      <c r="Y505" s="664">
        <f t="shared" ref="Y505:Y516" si="74">IFERROR(IF(X505="",0,CEILING((X505/$H505),1)*$H505),"")</f>
        <v>84.48</v>
      </c>
      <c r="Z505" s="36">
        <f>IFERROR(IF(Y505=0,"",ROUNDUP(Y505/H505,0)*0.01196),"")</f>
        <v>0.19136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85.454545454545453</v>
      </c>
      <c r="BN505" s="64">
        <f t="shared" ref="BN505:BN516" si="76">IFERROR(Y505*I505/H505,"0")</f>
        <v>90.24</v>
      </c>
      <c r="BO505" s="64">
        <f t="shared" ref="BO505:BO516" si="77">IFERROR(1/J505*(X505/H505),"0")</f>
        <v>0.14568764568764569</v>
      </c>
      <c r="BP505" s="64">
        <f t="shared" ref="BP505:BP516" si="78">IFERROR(1/J505*(Y505/H505),"0")</f>
        <v>0.15384615384615385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50</v>
      </c>
      <c r="Y507" s="664">
        <f t="shared" si="74"/>
        <v>52.800000000000004</v>
      </c>
      <c r="Z507" s="36">
        <f>IFERROR(IF(Y507=0,"",ROUNDUP(Y507/H507,0)*0.01196),"")</f>
        <v>0.1196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53.409090909090907</v>
      </c>
      <c r="BN507" s="64">
        <f t="shared" si="76"/>
        <v>56.400000000000006</v>
      </c>
      <c r="BO507" s="64">
        <f t="shared" si="77"/>
        <v>9.1054778554778545E-2</v>
      </c>
      <c r="BP507" s="64">
        <f t="shared" si="78"/>
        <v>9.6153846153846159E-2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24.621212121212118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0.31096000000000001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130</v>
      </c>
      <c r="Y518" s="665">
        <f>IFERROR(SUM(Y505:Y516),"0")</f>
        <v>137.28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7239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7389.2399999999989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7652.7203518271799</v>
      </c>
      <c r="Y592" s="665">
        <f>IFERROR(SUM(BN22:BN588),"0")</f>
        <v>7811.1090000000013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7977.7203518271799</v>
      </c>
      <c r="Y594" s="665">
        <f>GrossWeightTotalR+PalletQtyTotalR*25</f>
        <v>8136.1090000000013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1428.2199380765978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1454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14.944260000000003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263.8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486.8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396.3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666.00000000000011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279.3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2182.5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10.8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129.6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345.9</v>
      </c>
      <c r="V601" s="46">
        <f>IFERROR(Y363*1,"0")+IFERROR(Y367*1,"0")+IFERROR(Y368*1,"0")+IFERROR(Y369*1,"0")</f>
        <v>43.2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1983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5.4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596.64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