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22734CAD-CF5C-4265-B552-E97CB683868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Y590" i="1" s="1"/>
  <c r="X586" i="1"/>
  <c r="Y585" i="1"/>
  <c r="X585" i="1"/>
  <c r="BP584" i="1"/>
  <c r="BO584" i="1"/>
  <c r="BN584" i="1"/>
  <c r="BM584" i="1"/>
  <c r="Z584" i="1"/>
  <c r="Z585" i="1" s="1"/>
  <c r="Y584" i="1"/>
  <c r="Y586" i="1" s="1"/>
  <c r="X582" i="1"/>
  <c r="X581" i="1"/>
  <c r="BO580" i="1"/>
  <c r="BM580" i="1"/>
  <c r="Y580" i="1"/>
  <c r="Y582" i="1" s="1"/>
  <c r="X578" i="1"/>
  <c r="Y577" i="1"/>
  <c r="X577" i="1"/>
  <c r="BP576" i="1"/>
  <c r="BO576" i="1"/>
  <c r="BN576" i="1"/>
  <c r="BM576" i="1"/>
  <c r="Z576" i="1"/>
  <c r="Z577" i="1" s="1"/>
  <c r="Y576" i="1"/>
  <c r="AE601" i="1" s="1"/>
  <c r="X573" i="1"/>
  <c r="X572" i="1"/>
  <c r="BO571" i="1"/>
  <c r="BM571" i="1"/>
  <c r="Y571" i="1"/>
  <c r="BP571" i="1" s="1"/>
  <c r="BO570" i="1"/>
  <c r="BM570" i="1"/>
  <c r="Y570" i="1"/>
  <c r="BP570" i="1" s="1"/>
  <c r="BO569" i="1"/>
  <c r="BM569" i="1"/>
  <c r="Y569" i="1"/>
  <c r="BP569" i="1" s="1"/>
  <c r="BO568" i="1"/>
  <c r="BM568" i="1"/>
  <c r="Y568" i="1"/>
  <c r="Y573" i="1" s="1"/>
  <c r="X566" i="1"/>
  <c r="X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Y561" i="1"/>
  <c r="BP560" i="1"/>
  <c r="BO560" i="1"/>
  <c r="BN560" i="1"/>
  <c r="BM560" i="1"/>
  <c r="Z560" i="1"/>
  <c r="Z565" i="1" s="1"/>
  <c r="Y560" i="1"/>
  <c r="Y565" i="1" s="1"/>
  <c r="X558" i="1"/>
  <c r="X557" i="1"/>
  <c r="BO556" i="1"/>
  <c r="BM556" i="1"/>
  <c r="Y556" i="1"/>
  <c r="BP556" i="1" s="1"/>
  <c r="BO555" i="1"/>
  <c r="BM555" i="1"/>
  <c r="Y555" i="1"/>
  <c r="BP555" i="1" s="1"/>
  <c r="BO554" i="1"/>
  <c r="BM554" i="1"/>
  <c r="Y554" i="1"/>
  <c r="BP554" i="1" s="1"/>
  <c r="BO553" i="1"/>
  <c r="BM553" i="1"/>
  <c r="Y553" i="1"/>
  <c r="BP553" i="1" s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P534" i="1" s="1"/>
  <c r="BO533" i="1"/>
  <c r="BM533" i="1"/>
  <c r="Y533" i="1"/>
  <c r="BP533" i="1" s="1"/>
  <c r="X529" i="1"/>
  <c r="Y528" i="1"/>
  <c r="X528" i="1"/>
  <c r="BP527" i="1"/>
  <c r="BO527" i="1"/>
  <c r="BN527" i="1"/>
  <c r="BM527" i="1"/>
  <c r="Z527" i="1"/>
  <c r="Y527" i="1"/>
  <c r="BP526" i="1"/>
  <c r="BO526" i="1"/>
  <c r="BN526" i="1"/>
  <c r="BM526" i="1"/>
  <c r="Z526" i="1"/>
  <c r="Z528" i="1" s="1"/>
  <c r="Y526" i="1"/>
  <c r="Y529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Y523" i="1" s="1"/>
  <c r="P521" i="1"/>
  <c r="BP520" i="1"/>
  <c r="BO520" i="1"/>
  <c r="BN520" i="1"/>
  <c r="BM520" i="1"/>
  <c r="Z520" i="1"/>
  <c r="Y520" i="1"/>
  <c r="Y524" i="1" s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Y517" i="1" s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Y503" i="1" s="1"/>
  <c r="P498" i="1"/>
  <c r="X496" i="1"/>
  <c r="X495" i="1"/>
  <c r="BO494" i="1"/>
  <c r="BM494" i="1"/>
  <c r="Y494" i="1"/>
  <c r="BP494" i="1" s="1"/>
  <c r="P494" i="1"/>
  <c r="BP493" i="1"/>
  <c r="BO493" i="1"/>
  <c r="BN493" i="1"/>
  <c r="BM493" i="1"/>
  <c r="Z493" i="1"/>
  <c r="Y493" i="1"/>
  <c r="P493" i="1"/>
  <c r="BO492" i="1"/>
  <c r="BM492" i="1"/>
  <c r="Y492" i="1"/>
  <c r="BP492" i="1" s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Y310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Y306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2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1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Y128" i="1" s="1"/>
  <c r="P120" i="1"/>
  <c r="BP119" i="1"/>
  <c r="BO119" i="1"/>
  <c r="BN119" i="1"/>
  <c r="BM119" i="1"/>
  <c r="Z119" i="1"/>
  <c r="Y119" i="1"/>
  <c r="Y129" i="1" s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102" i="1" s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Y22" i="1"/>
  <c r="B601" i="1" s="1"/>
  <c r="P22" i="1"/>
  <c r="H10" i="1"/>
  <c r="A9" i="1"/>
  <c r="F10" i="1" s="1"/>
  <c r="D7" i="1"/>
  <c r="Q6" i="1"/>
  <c r="P2" i="1"/>
  <c r="H9" i="1" l="1"/>
  <c r="A10" i="1"/>
  <c r="X594" i="1"/>
  <c r="F9" i="1"/>
  <c r="J9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3" i="1"/>
  <c r="Z102" i="1" s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Z128" i="1" s="1"/>
  <c r="BN120" i="1"/>
  <c r="BP120" i="1"/>
  <c r="Z123" i="1"/>
  <c r="BN123" i="1"/>
  <c r="Z124" i="1"/>
  <c r="BN124" i="1"/>
  <c r="Z126" i="1"/>
  <c r="BN126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Z261" i="1" s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11" i="1"/>
  <c r="BP308" i="1"/>
  <c r="BN308" i="1"/>
  <c r="Z308" i="1"/>
  <c r="Z310" i="1" s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Y28" i="1"/>
  <c r="Y55" i="1"/>
  <c r="Y139" i="1"/>
  <c r="Y172" i="1"/>
  <c r="Y193" i="1"/>
  <c r="Y238" i="1"/>
  <c r="Y267" i="1"/>
  <c r="Y274" i="1"/>
  <c r="Y283" i="1"/>
  <c r="Y288" i="1"/>
  <c r="Y301" i="1"/>
  <c r="S601" i="1"/>
  <c r="Y305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40" i="1" s="1"/>
  <c r="Y340" i="1"/>
  <c r="Z346" i="1"/>
  <c r="BP344" i="1"/>
  <c r="BN344" i="1"/>
  <c r="Z344" i="1"/>
  <c r="BP350" i="1"/>
  <c r="BN350" i="1"/>
  <c r="Z350" i="1"/>
  <c r="BP358" i="1"/>
  <c r="BN358" i="1"/>
  <c r="Z358" i="1"/>
  <c r="Y360" i="1"/>
  <c r="V601" i="1"/>
  <c r="Y365" i="1"/>
  <c r="Y364" i="1"/>
  <c r="BP363" i="1"/>
  <c r="BN363" i="1"/>
  <c r="Z363" i="1"/>
  <c r="Z364" i="1" s="1"/>
  <c r="BP368" i="1"/>
  <c r="BN368" i="1"/>
  <c r="Z368" i="1"/>
  <c r="Z370" i="1" s="1"/>
  <c r="Y370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Y453" i="1"/>
  <c r="BP459" i="1"/>
  <c r="BN459" i="1"/>
  <c r="Z459" i="1"/>
  <c r="Y461" i="1"/>
  <c r="AA601" i="1"/>
  <c r="Y466" i="1"/>
  <c r="BP464" i="1"/>
  <c r="BN464" i="1"/>
  <c r="Z464" i="1"/>
  <c r="BP482" i="1"/>
  <c r="BN482" i="1"/>
  <c r="Z482" i="1"/>
  <c r="BP485" i="1"/>
  <c r="BN485" i="1"/>
  <c r="Z485" i="1"/>
  <c r="Y316" i="1"/>
  <c r="U601" i="1"/>
  <c r="Y325" i="1"/>
  <c r="Y371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Z408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Z421" i="1" s="1"/>
  <c r="BP419" i="1"/>
  <c r="BN419" i="1"/>
  <c r="Z419" i="1"/>
  <c r="BP435" i="1"/>
  <c r="BN435" i="1"/>
  <c r="Z435" i="1"/>
  <c r="Z442" i="1" s="1"/>
  <c r="BP440" i="1"/>
  <c r="BN440" i="1"/>
  <c r="Z440" i="1"/>
  <c r="Y447" i="1"/>
  <c r="Y460" i="1"/>
  <c r="BP456" i="1"/>
  <c r="BN456" i="1"/>
  <c r="Z456" i="1"/>
  <c r="Z460" i="1" s="1"/>
  <c r="BP465" i="1"/>
  <c r="BN465" i="1"/>
  <c r="Z465" i="1"/>
  <c r="Y467" i="1"/>
  <c r="AB601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6" i="1"/>
  <c r="Y495" i="1"/>
  <c r="BP480" i="1"/>
  <c r="BN480" i="1"/>
  <c r="Z480" i="1"/>
  <c r="BP484" i="1"/>
  <c r="BN484" i="1"/>
  <c r="Z484" i="1"/>
  <c r="W601" i="1"/>
  <c r="Y385" i="1"/>
  <c r="X601" i="1"/>
  <c r="Y409" i="1"/>
  <c r="Y601" i="1"/>
  <c r="Y443" i="1"/>
  <c r="Z487" i="1"/>
  <c r="BN487" i="1"/>
  <c r="Z492" i="1"/>
  <c r="BN492" i="1"/>
  <c r="Z494" i="1"/>
  <c r="BN494" i="1"/>
  <c r="Z498" i="1"/>
  <c r="BN498" i="1"/>
  <c r="BP498" i="1"/>
  <c r="Z499" i="1"/>
  <c r="BN499" i="1"/>
  <c r="Z500" i="1"/>
  <c r="BN500" i="1"/>
  <c r="Z501" i="1"/>
  <c r="BN501" i="1"/>
  <c r="Y502" i="1"/>
  <c r="Z511" i="1"/>
  <c r="Z517" i="1" s="1"/>
  <c r="BN511" i="1"/>
  <c r="Z512" i="1"/>
  <c r="BN512" i="1"/>
  <c r="Z515" i="1"/>
  <c r="BN515" i="1"/>
  <c r="Y518" i="1"/>
  <c r="Z521" i="1"/>
  <c r="Z523" i="1" s="1"/>
  <c r="BN521" i="1"/>
  <c r="BP521" i="1"/>
  <c r="Z533" i="1"/>
  <c r="BN533" i="1"/>
  <c r="Z534" i="1"/>
  <c r="BN534" i="1"/>
  <c r="BP535" i="1"/>
  <c r="BN535" i="1"/>
  <c r="Z535" i="1"/>
  <c r="BP537" i="1"/>
  <c r="BN537" i="1"/>
  <c r="Z537" i="1"/>
  <c r="BP551" i="1"/>
  <c r="BN551" i="1"/>
  <c r="Z551" i="1"/>
  <c r="AD601" i="1"/>
  <c r="Y539" i="1"/>
  <c r="BP536" i="1"/>
  <c r="BN536" i="1"/>
  <c r="Z536" i="1"/>
  <c r="BP538" i="1"/>
  <c r="BN538" i="1"/>
  <c r="Z538" i="1"/>
  <c r="Y540" i="1"/>
  <c r="Y558" i="1"/>
  <c r="Y557" i="1"/>
  <c r="BP550" i="1"/>
  <c r="BN550" i="1"/>
  <c r="Z550" i="1"/>
  <c r="BP552" i="1"/>
  <c r="BN552" i="1"/>
  <c r="Z552" i="1"/>
  <c r="Z553" i="1"/>
  <c r="BN553" i="1"/>
  <c r="Z554" i="1"/>
  <c r="BN554" i="1"/>
  <c r="Z555" i="1"/>
  <c r="BN555" i="1"/>
  <c r="Z556" i="1"/>
  <c r="BN556" i="1"/>
  <c r="Y566" i="1"/>
  <c r="Z568" i="1"/>
  <c r="Z572" i="1" s="1"/>
  <c r="BN568" i="1"/>
  <c r="BP568" i="1"/>
  <c r="Z569" i="1"/>
  <c r="BN569" i="1"/>
  <c r="Z570" i="1"/>
  <c r="BN570" i="1"/>
  <c r="Z571" i="1"/>
  <c r="BN571" i="1"/>
  <c r="Y572" i="1"/>
  <c r="Y578" i="1"/>
  <c r="Z580" i="1"/>
  <c r="Z581" i="1" s="1"/>
  <c r="BN580" i="1"/>
  <c r="BP580" i="1"/>
  <c r="Y581" i="1"/>
  <c r="Z588" i="1"/>
  <c r="Z589" i="1" s="1"/>
  <c r="BN588" i="1"/>
  <c r="BP588" i="1"/>
  <c r="Y589" i="1"/>
  <c r="Z466" i="1" l="1"/>
  <c r="Y595" i="1"/>
  <c r="Z395" i="1"/>
  <c r="Z359" i="1"/>
  <c r="Z353" i="1"/>
  <c r="Y592" i="1"/>
  <c r="Z557" i="1"/>
  <c r="Z539" i="1"/>
  <c r="Z502" i="1"/>
  <c r="Z495" i="1"/>
  <c r="Z282" i="1"/>
  <c r="Z273" i="1"/>
  <c r="Z183" i="1"/>
  <c r="Z116" i="1"/>
  <c r="Z55" i="1"/>
  <c r="Y591" i="1"/>
  <c r="Y593" i="1"/>
  <c r="Z28" i="1"/>
  <c r="Z596" i="1" s="1"/>
  <c r="Y594" i="1" l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<sst xmlns="http://schemas.openxmlformats.org/spreadsheetml/2006/main" count="2720" uniqueCount="975">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</sst>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8" zoomScaleNormal="100" zoomScaleSheetLayoutView="100" workbookViewId="0">
      <selection activeCell="AA608" sqref="AA608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25</v>
      </c>
      <c r="Y37" s="664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26.006944444444443</v>
      </c>
      <c r="BN37" s="64">
        <f>IFERROR(Y37*I37/H37,"0")</f>
        <v>33.705000000000005</v>
      </c>
      <c r="BO37" s="64">
        <f>IFERROR(1/J37*(X37/H37),"0")</f>
        <v>3.6168981481481483E-2</v>
      </c>
      <c r="BP37" s="64">
        <f>IFERROR(1/J37*(Y37/H37),"0")</f>
        <v>4.6875000000000007E-2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2.3148148148148149</v>
      </c>
      <c r="Y41" s="665">
        <f>IFERROR(Y37/H37,"0")+IFERROR(Y38/H38,"0")+IFERROR(Y39/H39,"0")+IFERROR(Y40/H40,"0")</f>
        <v>3.0000000000000004</v>
      </c>
      <c r="Z41" s="665">
        <f>IFERROR(IF(Z37="",0,Z37),"0")+IFERROR(IF(Z38="",0,Z38),"0")+IFERROR(IF(Z39="",0,Z39),"0")+IFERROR(IF(Z40="",0,Z40),"0")</f>
        <v>5.6940000000000004E-2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25</v>
      </c>
      <c r="Y42" s="665">
        <f>IFERROR(SUM(Y37:Y40),"0")</f>
        <v>32.400000000000006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33</v>
      </c>
      <c r="Y58" s="664">
        <f>IFERROR(IF(X58="",0,CEILING((X58/$H58),1)*$H58),"")</f>
        <v>43.2</v>
      </c>
      <c r="Z58" s="36">
        <f>IFERROR(IF(Y58=0,"",ROUNDUP(Y58/H58,0)*0.01898),"")</f>
        <v>7.5920000000000001E-2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34.329166666666666</v>
      </c>
      <c r="BN58" s="64">
        <f>IFERROR(Y58*I58/H58,"0")</f>
        <v>44.94</v>
      </c>
      <c r="BO58" s="64">
        <f>IFERROR(1/J58*(X58/H58),"0")</f>
        <v>4.7743055555555552E-2</v>
      </c>
      <c r="BP58" s="64">
        <f>IFERROR(1/J58*(Y58/H58),"0")</f>
        <v>6.25E-2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3.0555555555555554</v>
      </c>
      <c r="Y62" s="665">
        <f>IFERROR(Y58/H58,"0")+IFERROR(Y59/H59,"0")+IFERROR(Y60/H60,"0")+IFERROR(Y61/H61,"0")</f>
        <v>4</v>
      </c>
      <c r="Z62" s="665">
        <f>IFERROR(IF(Z58="",0,Z58),"0")+IFERROR(IF(Z59="",0,Z59),"0")+IFERROR(IF(Z60="",0,Z60),"0")+IFERROR(IF(Z61="",0,Z61),"0")</f>
        <v>7.5920000000000001E-2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33</v>
      </c>
      <c r="Y63" s="665">
        <f>IFERROR(SUM(Y58:Y61),"0")</f>
        <v>43.2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11</v>
      </c>
      <c r="Y66" s="664">
        <f>IFERROR(IF(X66="",0,CEILING((X66/$H66),1)*$H66),"")</f>
        <v>12.6</v>
      </c>
      <c r="Z66" s="36">
        <f>IFERROR(IF(Y66=0,"",ROUNDUP(Y66/H66,0)*0.00502),"")</f>
        <v>3.5140000000000005E-2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11.611111111111111</v>
      </c>
      <c r="BN66" s="64">
        <f>IFERROR(Y66*I66/H66,"0")</f>
        <v>13.299999999999999</v>
      </c>
      <c r="BO66" s="64">
        <f>IFERROR(1/J66*(X66/H66),"0")</f>
        <v>2.6115859449192782E-2</v>
      </c>
      <c r="BP66" s="64">
        <f>IFERROR(1/J66*(Y66/H66),"0")</f>
        <v>2.9914529914529919E-2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6.1111111111111107</v>
      </c>
      <c r="Y68" s="665">
        <f>IFERROR(Y65/H65,"0")+IFERROR(Y66/H66,"0")+IFERROR(Y67/H67,"0")</f>
        <v>7</v>
      </c>
      <c r="Z68" s="665">
        <f>IFERROR(IF(Z65="",0,Z65),"0")+IFERROR(IF(Z66="",0,Z66),"0")+IFERROR(IF(Z67="",0,Z67),"0")</f>
        <v>3.5140000000000005E-2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11</v>
      </c>
      <c r="Y69" s="665">
        <f>IFERROR(SUM(Y65:Y67),"0")</f>
        <v>12.6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15</v>
      </c>
      <c r="Y72" s="664">
        <f t="shared" si="11"/>
        <v>16.8</v>
      </c>
      <c r="Z72" s="36">
        <f>IFERROR(IF(Y72=0,"",ROUNDUP(Y72/H72,0)*0.01898),"")</f>
        <v>3.7960000000000001E-2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15.776785714285714</v>
      </c>
      <c r="BN72" s="64">
        <f t="shared" si="13"/>
        <v>17.670000000000002</v>
      </c>
      <c r="BO72" s="64">
        <f t="shared" si="14"/>
        <v>2.7901785714285712E-2</v>
      </c>
      <c r="BP72" s="64">
        <f t="shared" si="15"/>
        <v>3.125E-2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1.7857142857142856</v>
      </c>
      <c r="Y77" s="665">
        <f>IFERROR(Y71/H71,"0")+IFERROR(Y72/H72,"0")+IFERROR(Y73/H73,"0")+IFERROR(Y74/H74,"0")+IFERROR(Y75/H75,"0")+IFERROR(Y76/H76,"0")</f>
        <v>2</v>
      </c>
      <c r="Z77" s="665">
        <f>IFERROR(IF(Z71="",0,Z71),"0")+IFERROR(IF(Z72="",0,Z72),"0")+IFERROR(IF(Z73="",0,Z73),"0")+IFERROR(IF(Z74="",0,Z74),"0")+IFERROR(IF(Z75="",0,Z75),"0")+IFERROR(IF(Z76="",0,Z76),"0")</f>
        <v>3.7960000000000001E-2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15</v>
      </c>
      <c r="Y78" s="665">
        <f>IFERROR(SUM(Y71:Y76),"0")</f>
        <v>16.8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23</v>
      </c>
      <c r="Y80" s="664">
        <f>IFERROR(IF(X80="",0,CEILING((X80/$H80),1)*$H80),"")</f>
        <v>25.200000000000003</v>
      </c>
      <c r="Z80" s="36">
        <f>IFERROR(IF(Y80=0,"",ROUNDUP(Y80/H80,0)*0.01898),"")</f>
        <v>5.6940000000000004E-2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24.421071428571427</v>
      </c>
      <c r="BN80" s="64">
        <f>IFERROR(Y80*I80/H80,"0")</f>
        <v>26.757000000000001</v>
      </c>
      <c r="BO80" s="64">
        <f>IFERROR(1/J80*(X80/H80),"0")</f>
        <v>4.2782738095238096E-2</v>
      </c>
      <c r="BP80" s="64">
        <f>IFERROR(1/J80*(Y80/H80),"0")</f>
        <v>4.6875E-2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2.7380952380952381</v>
      </c>
      <c r="Y83" s="665">
        <f>IFERROR(Y80/H80,"0")+IFERROR(Y81/H81,"0")+IFERROR(Y82/H82,"0")</f>
        <v>3</v>
      </c>
      <c r="Z83" s="665">
        <f>IFERROR(IF(Z80="",0,Z80),"0")+IFERROR(IF(Z81="",0,Z81),"0")+IFERROR(IF(Z82="",0,Z82),"0")</f>
        <v>5.6940000000000004E-2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23</v>
      </c>
      <c r="Y84" s="665">
        <f>IFERROR(SUM(Y80:Y82),"0")</f>
        <v>25.200000000000003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30</v>
      </c>
      <c r="Y87" s="664">
        <f>IFERROR(IF(X87="",0,CEILING((X87/$H87),1)*$H87),"")</f>
        <v>32.400000000000006</v>
      </c>
      <c r="Z87" s="36">
        <f>IFERROR(IF(Y87=0,"",ROUNDUP(Y87/H87,0)*0.01898),"")</f>
        <v>5.6940000000000004E-2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31.208333333333329</v>
      </c>
      <c r="BN87" s="64">
        <f>IFERROR(Y87*I87/H87,"0")</f>
        <v>33.705000000000005</v>
      </c>
      <c r="BO87" s="64">
        <f>IFERROR(1/J87*(X87/H87),"0")</f>
        <v>4.3402777777777776E-2</v>
      </c>
      <c r="BP87" s="64">
        <f>IFERROR(1/J87*(Y87/H87),"0")</f>
        <v>4.6875000000000007E-2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46</v>
      </c>
      <c r="Y89" s="664">
        <f>IFERROR(IF(X89="",0,CEILING((X89/$H89),1)*$H89),"")</f>
        <v>49.5</v>
      </c>
      <c r="Z89" s="36">
        <f>IFERROR(IF(Y89=0,"",ROUNDUP(Y89/H89,0)*0.00902),"")</f>
        <v>9.9220000000000003E-2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48.146666666666668</v>
      </c>
      <c r="BN89" s="64">
        <f>IFERROR(Y89*I89/H89,"0")</f>
        <v>51.81</v>
      </c>
      <c r="BO89" s="64">
        <f>IFERROR(1/J89*(X89/H89),"0")</f>
        <v>7.7441077441077436E-2</v>
      </c>
      <c r="BP89" s="64">
        <f>IFERROR(1/J89*(Y89/H89),"0")</f>
        <v>8.3333333333333343E-2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13</v>
      </c>
      <c r="Y90" s="665">
        <f>IFERROR(Y87/H87,"0")+IFERROR(Y88/H88,"0")+IFERROR(Y89/H89,"0")</f>
        <v>14</v>
      </c>
      <c r="Z90" s="665">
        <f>IFERROR(IF(Z87="",0,Z87),"0")+IFERROR(IF(Z88="",0,Z88),"0")+IFERROR(IF(Z89="",0,Z89),"0")</f>
        <v>0.15616000000000002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76</v>
      </c>
      <c r="Y91" s="665">
        <f>IFERROR(SUM(Y87:Y89),"0")</f>
        <v>81.900000000000006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12</v>
      </c>
      <c r="Y94" s="664">
        <f t="shared" si="16"/>
        <v>16.8</v>
      </c>
      <c r="Z94" s="36">
        <f>IFERROR(IF(Y94=0,"",ROUNDUP(Y94/H94,0)*0.01898),"")</f>
        <v>3.7960000000000001E-2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12.741428571428571</v>
      </c>
      <c r="BN94" s="64">
        <f t="shared" si="18"/>
        <v>17.838000000000001</v>
      </c>
      <c r="BO94" s="64">
        <f t="shared" si="19"/>
        <v>2.2321428571428572E-2</v>
      </c>
      <c r="BP94" s="64">
        <f t="shared" si="20"/>
        <v>3.125E-2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1.4285714285714286</v>
      </c>
      <c r="Y102" s="665">
        <f>IFERROR(Y93/H93,"0")+IFERROR(Y94/H94,"0")+IFERROR(Y95/H95,"0")+IFERROR(Y96/H96,"0")+IFERROR(Y97/H97,"0")+IFERROR(Y98/H98,"0")+IFERROR(Y99/H99,"0")+IFERROR(Y100/H100,"0")+IFERROR(Y101/H101,"0")</f>
        <v>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3.7960000000000001E-2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12</v>
      </c>
      <c r="Y103" s="665">
        <f>IFERROR(SUM(Y93:Y101),"0")</f>
        <v>16.8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48</v>
      </c>
      <c r="Y106" s="664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49.93333333333333</v>
      </c>
      <c r="BN106" s="64">
        <f>IFERROR(Y106*I106/H106,"0")</f>
        <v>56.17499999999999</v>
      </c>
      <c r="BO106" s="64">
        <f>IFERROR(1/J106*(X106/H106),"0")</f>
        <v>6.9444444444444434E-2</v>
      </c>
      <c r="BP106" s="64">
        <f>IFERROR(1/J106*(Y106/H106),"0")</f>
        <v>7.8125E-2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11</v>
      </c>
      <c r="Y108" s="664">
        <f>IFERROR(IF(X108="",0,CEILING((X108/$H108),1)*$H108),"")</f>
        <v>13.5</v>
      </c>
      <c r="Z108" s="36">
        <f>IFERROR(IF(Y108=0,"",ROUNDUP(Y108/H108,0)*0.00902),"")</f>
        <v>2.7060000000000001E-2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11.513333333333334</v>
      </c>
      <c r="BN108" s="64">
        <f>IFERROR(Y108*I108/H108,"0")</f>
        <v>14.13</v>
      </c>
      <c r="BO108" s="64">
        <f>IFERROR(1/J108*(X108/H108),"0")</f>
        <v>1.8518518518518521E-2</v>
      </c>
      <c r="BP108" s="64">
        <f>IFERROR(1/J108*(Y108/H108),"0")</f>
        <v>2.2727272727272728E-2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6.8888888888888884</v>
      </c>
      <c r="Y110" s="665">
        <f>IFERROR(Y106/H106,"0")+IFERROR(Y107/H107,"0")+IFERROR(Y108/H108,"0")+IFERROR(Y109/H109,"0")</f>
        <v>8</v>
      </c>
      <c r="Z110" s="665">
        <f>IFERROR(IF(Z106="",0,Z106),"0")+IFERROR(IF(Z107="",0,Z107),"0")+IFERROR(IF(Z108="",0,Z108),"0")+IFERROR(IF(Z109="",0,Z109),"0")</f>
        <v>0.12196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59</v>
      </c>
      <c r="Y111" s="665">
        <f>IFERROR(SUM(Y106:Y109),"0")</f>
        <v>67.5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10</v>
      </c>
      <c r="Y113" s="664">
        <f>IFERROR(IF(X113="",0,CEILING((X113/$H113),1)*$H113),"")</f>
        <v>10.8</v>
      </c>
      <c r="Z113" s="36">
        <f>IFERROR(IF(Y113=0,"",ROUNDUP(Y113/H113,0)*0.01898),"")</f>
        <v>1.898E-2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10.402777777777777</v>
      </c>
      <c r="BN113" s="64">
        <f>IFERROR(Y113*I113/H113,"0")</f>
        <v>11.234999999999999</v>
      </c>
      <c r="BO113" s="64">
        <f>IFERROR(1/J113*(X113/H113),"0")</f>
        <v>1.4467592592592591E-2</v>
      </c>
      <c r="BP113" s="64">
        <f>IFERROR(1/J113*(Y113/H113),"0")</f>
        <v>1.5625E-2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24</v>
      </c>
      <c r="Y115" s="664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25.8</v>
      </c>
      <c r="BN115" s="64">
        <f>IFERROR(Y115*I115/H115,"0")</f>
        <v>25.8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10.925925925925926</v>
      </c>
      <c r="Y116" s="665">
        <f>IFERROR(Y113/H113,"0")+IFERROR(Y114/H114,"0")+IFERROR(Y115/H115,"0")</f>
        <v>11</v>
      </c>
      <c r="Z116" s="665">
        <f>IFERROR(IF(Z113="",0,Z113),"0")+IFERROR(IF(Z114="",0,Z114),"0")+IFERROR(IF(Z115="",0,Z115),"0")</f>
        <v>8.4080000000000002E-2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34</v>
      </c>
      <c r="Y117" s="665">
        <f>IFERROR(SUM(Y113:Y115),"0")</f>
        <v>34.799999999999997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4</v>
      </c>
      <c r="Y120" s="664">
        <f t="shared" si="21"/>
        <v>8.4</v>
      </c>
      <c r="Z120" s="36">
        <f>IFERROR(IF(Y120=0,"",ROUNDUP(Y120/H120,0)*0.01898),"")</f>
        <v>1.898E-2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4.2442857142857147</v>
      </c>
      <c r="BN120" s="64">
        <f t="shared" si="23"/>
        <v>8.9130000000000003</v>
      </c>
      <c r="BO120" s="64">
        <f t="shared" si="24"/>
        <v>7.4404761904761901E-3</v>
      </c>
      <c r="BP120" s="64">
        <f t="shared" si="25"/>
        <v>1.5625E-2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0.47619047619047616</v>
      </c>
      <c r="Y128" s="665">
        <f>IFERROR(Y119/H119,"0")+IFERROR(Y120/H120,"0")+IFERROR(Y121/H121,"0")+IFERROR(Y122/H122,"0")+IFERROR(Y123/H123,"0")+IFERROR(Y124/H124,"0")+IFERROR(Y125/H125,"0")+IFERROR(Y126/H126,"0")+IFERROR(Y127/H127,"0")</f>
        <v>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1.898E-2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4</v>
      </c>
      <c r="Y129" s="665">
        <f>IFERROR(SUM(Y119:Y127),"0")</f>
        <v>8.4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11</v>
      </c>
      <c r="Y170" s="664">
        <f>IFERROR(IF(X170="",0,CEILING((X170/$H170),1)*$H170),"")</f>
        <v>11.879999999999999</v>
      </c>
      <c r="Z170" s="36">
        <f>IFERROR(IF(Y170=0,"",ROUNDUP(Y170/H170,0)*0.00502),"")</f>
        <v>3.0120000000000001E-2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11.555555555555557</v>
      </c>
      <c r="BN170" s="64">
        <f>IFERROR(Y170*I170/H170,"0")</f>
        <v>12.48</v>
      </c>
      <c r="BO170" s="64">
        <f>IFERROR(1/J170*(X170/H170),"0")</f>
        <v>2.3741690408357077E-2</v>
      </c>
      <c r="BP170" s="64">
        <f>IFERROR(1/J170*(Y170/H170),"0")</f>
        <v>2.564102564102564E-2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5.5555555555555554</v>
      </c>
      <c r="Y171" s="665">
        <f>IFERROR(Y170/H170,"0")</f>
        <v>5.9999999999999991</v>
      </c>
      <c r="Z171" s="665">
        <f>IFERROR(IF(Z170="",0,Z170),"0")</f>
        <v>3.0120000000000001E-2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11</v>
      </c>
      <c r="Y172" s="665">
        <f>IFERROR(SUM(Y170:Y170),"0")</f>
        <v>11.879999999999999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10</v>
      </c>
      <c r="Y174" s="664">
        <f t="shared" ref="Y174:Y182" si="27">IFERROR(IF(X174="",0,CEILING((X174/$H174),1)*$H174),"")</f>
        <v>12.600000000000001</v>
      </c>
      <c r="Z174" s="36">
        <f>IFERROR(IF(Y174=0,"",ROUNDUP(Y174/H174,0)*0.00902),"")</f>
        <v>2.7060000000000001E-2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10.642857142857141</v>
      </c>
      <c r="BN174" s="64">
        <f t="shared" ref="BN174:BN182" si="29">IFERROR(Y174*I174/H174,"0")</f>
        <v>13.41</v>
      </c>
      <c r="BO174" s="64">
        <f t="shared" ref="BO174:BO182" si="30">IFERROR(1/J174*(X174/H174),"0")</f>
        <v>1.8037518037518036E-2</v>
      </c>
      <c r="BP174" s="64">
        <f t="shared" ref="BP174:BP182" si="31">IFERROR(1/J174*(Y174/H174),"0")</f>
        <v>2.2727272727272728E-2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45</v>
      </c>
      <c r="Y176" s="664">
        <f t="shared" si="27"/>
        <v>46.2</v>
      </c>
      <c r="Z176" s="36">
        <f>IFERROR(IF(Y176=0,"",ROUNDUP(Y176/H176,0)*0.00902),"")</f>
        <v>9.9220000000000003E-2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47.25</v>
      </c>
      <c r="BN176" s="64">
        <f t="shared" si="29"/>
        <v>48.510000000000005</v>
      </c>
      <c r="BO176" s="64">
        <f t="shared" si="30"/>
        <v>8.1168831168831168E-2</v>
      </c>
      <c r="BP176" s="64">
        <f t="shared" si="31"/>
        <v>8.3333333333333343E-2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10</v>
      </c>
      <c r="Y179" s="664">
        <f t="shared" si="27"/>
        <v>10.8</v>
      </c>
      <c r="Z179" s="36">
        <f>IFERROR(IF(Y179=0,"",ROUNDUP(Y179/H179,0)*0.00502),"")</f>
        <v>3.0120000000000001E-2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10.722222222222223</v>
      </c>
      <c r="BN179" s="64">
        <f t="shared" si="29"/>
        <v>11.58</v>
      </c>
      <c r="BO179" s="64">
        <f t="shared" si="30"/>
        <v>2.3741690408357077E-2</v>
      </c>
      <c r="BP179" s="64">
        <f t="shared" si="31"/>
        <v>2.5641025641025644E-2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18.650793650793652</v>
      </c>
      <c r="Y183" s="665">
        <f>IFERROR(Y174/H174,"0")+IFERROR(Y175/H175,"0")+IFERROR(Y176/H176,"0")+IFERROR(Y177/H177,"0")+IFERROR(Y178/H178,"0")+IFERROR(Y179/H179,"0")+IFERROR(Y180/H180,"0")+IFERROR(Y181/H181,"0")+IFERROR(Y182/H182,"0")</f>
        <v>20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0.15640000000000001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65</v>
      </c>
      <c r="Y184" s="665">
        <f>IFERROR(SUM(Y174:Y182),"0")</f>
        <v>69.600000000000009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87</v>
      </c>
      <c r="Y201" s="664">
        <f t="shared" ref="Y201:Y208" si="32">IFERROR(IF(X201="",0,CEILING((X201/$H201),1)*$H201),"")</f>
        <v>91.800000000000011</v>
      </c>
      <c r="Z201" s="36">
        <f>IFERROR(IF(Y201=0,"",ROUNDUP(Y201/H201,0)*0.00902),"")</f>
        <v>0.15334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90.38333333333334</v>
      </c>
      <c r="BN201" s="64">
        <f t="shared" ref="BN201:BN208" si="34">IFERROR(Y201*I201/H201,"0")</f>
        <v>95.37</v>
      </c>
      <c r="BO201" s="64">
        <f t="shared" ref="BO201:BO208" si="35">IFERROR(1/J201*(X201/H201),"0")</f>
        <v>0.12205387205387205</v>
      </c>
      <c r="BP201" s="64">
        <f t="shared" ref="BP201:BP208" si="36">IFERROR(1/J201*(Y201/H201),"0")</f>
        <v>0.12878787878787878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60</v>
      </c>
      <c r="Y202" s="664">
        <f t="shared" si="32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62.333333333333336</v>
      </c>
      <c r="BN202" s="64">
        <f t="shared" si="34"/>
        <v>67.320000000000007</v>
      </c>
      <c r="BO202" s="64">
        <f t="shared" si="35"/>
        <v>8.4175084175084181E-2</v>
      </c>
      <c r="BP202" s="64">
        <f t="shared" si="36"/>
        <v>9.0909090909090925E-2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21</v>
      </c>
      <c r="Y205" s="664">
        <f t="shared" si="32"/>
        <v>21.6</v>
      </c>
      <c r="Z205" s="36">
        <f>IFERROR(IF(Y205=0,"",ROUNDUP(Y205/H205,0)*0.00502),"")</f>
        <v>6.0240000000000002E-2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22.516666666666666</v>
      </c>
      <c r="BN205" s="64">
        <f t="shared" si="34"/>
        <v>23.16</v>
      </c>
      <c r="BO205" s="64">
        <f t="shared" si="35"/>
        <v>4.9857549857549859E-2</v>
      </c>
      <c r="BP205" s="64">
        <f t="shared" si="36"/>
        <v>5.1282051282051287E-2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13</v>
      </c>
      <c r="Y206" s="664">
        <f t="shared" si="32"/>
        <v>14.4</v>
      </c>
      <c r="Z206" s="36">
        <f>IFERROR(IF(Y206=0,"",ROUNDUP(Y206/H206,0)*0.00502),"")</f>
        <v>4.0160000000000001E-2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13.722222222222221</v>
      </c>
      <c r="BN206" s="64">
        <f t="shared" si="34"/>
        <v>15.2</v>
      </c>
      <c r="BO206" s="64">
        <f t="shared" si="35"/>
        <v>3.0864197530864203E-2</v>
      </c>
      <c r="BP206" s="64">
        <f t="shared" si="36"/>
        <v>3.4188034188034191E-2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13</v>
      </c>
      <c r="Y208" s="664">
        <f t="shared" si="32"/>
        <v>14.4</v>
      </c>
      <c r="Z208" s="36">
        <f>IFERROR(IF(Y208=0,"",ROUNDUP(Y208/H208,0)*0.00502),"")</f>
        <v>4.0160000000000001E-2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13.722222222222221</v>
      </c>
      <c r="BN208" s="64">
        <f t="shared" si="34"/>
        <v>15.2</v>
      </c>
      <c r="BO208" s="64">
        <f t="shared" si="35"/>
        <v>3.0864197530864203E-2</v>
      </c>
      <c r="BP208" s="64">
        <f t="shared" si="36"/>
        <v>3.4188034188034191E-2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53.333333333333329</v>
      </c>
      <c r="Y209" s="665">
        <f>IFERROR(Y201/H201,"0")+IFERROR(Y202/H202,"0")+IFERROR(Y203/H203,"0")+IFERROR(Y204/H204,"0")+IFERROR(Y205/H205,"0")+IFERROR(Y206/H206,"0")+IFERROR(Y207/H207,"0")+IFERROR(Y208/H208,"0")</f>
        <v>57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0.40214000000000005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194</v>
      </c>
      <c r="Y210" s="665">
        <f>IFERROR(SUM(Y201:Y208),"0")</f>
        <v>207.00000000000003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114</v>
      </c>
      <c r="Y215" s="664">
        <f t="shared" si="37"/>
        <v>115.19999999999999</v>
      </c>
      <c r="Z215" s="36">
        <f t="shared" ref="Z215:Z220" si="42">IFERROR(IF(Y215=0,"",ROUNDUP(Y215/H215,0)*0.00651),"")</f>
        <v>0.31247999999999998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126.825</v>
      </c>
      <c r="BN215" s="64">
        <f t="shared" si="39"/>
        <v>128.15999999999997</v>
      </c>
      <c r="BO215" s="64">
        <f t="shared" si="40"/>
        <v>0.26098901098901101</v>
      </c>
      <c r="BP215" s="64">
        <f t="shared" si="41"/>
        <v>0.26373626373626374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106</v>
      </c>
      <c r="Y217" s="664">
        <f t="shared" si="37"/>
        <v>108</v>
      </c>
      <c r="Z217" s="36">
        <f t="shared" si="42"/>
        <v>0.29294999999999999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117.13000000000001</v>
      </c>
      <c r="BN217" s="64">
        <f t="shared" si="39"/>
        <v>119.34</v>
      </c>
      <c r="BO217" s="64">
        <f t="shared" si="40"/>
        <v>0.24267399267399273</v>
      </c>
      <c r="BP217" s="64">
        <f t="shared" si="41"/>
        <v>0.24725274725274726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64</v>
      </c>
      <c r="Y218" s="664">
        <f t="shared" si="37"/>
        <v>64.8</v>
      </c>
      <c r="Z218" s="36">
        <f t="shared" si="42"/>
        <v>0.17577000000000001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70.720000000000013</v>
      </c>
      <c r="BN218" s="64">
        <f t="shared" si="39"/>
        <v>71.604000000000013</v>
      </c>
      <c r="BO218" s="64">
        <f t="shared" si="40"/>
        <v>0.14652014652014653</v>
      </c>
      <c r="BP218" s="64">
        <f t="shared" si="41"/>
        <v>0.14835164835164835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27</v>
      </c>
      <c r="Y220" s="664">
        <f t="shared" si="37"/>
        <v>28.799999999999997</v>
      </c>
      <c r="Z220" s="36">
        <f t="shared" si="42"/>
        <v>7.8119999999999995E-2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29.902499999999996</v>
      </c>
      <c r="BN220" s="64">
        <f t="shared" si="39"/>
        <v>31.896000000000001</v>
      </c>
      <c r="BO220" s="64">
        <f t="shared" si="40"/>
        <v>6.1813186813186816E-2</v>
      </c>
      <c r="BP220" s="64">
        <f t="shared" si="41"/>
        <v>6.5934065934065936E-2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129.58333333333334</v>
      </c>
      <c r="Y221" s="665">
        <f>IFERROR(Y212/H212,"0")+IFERROR(Y213/H213,"0")+IFERROR(Y214/H214,"0")+IFERROR(Y215/H215,"0")+IFERROR(Y216/H216,"0")+IFERROR(Y217/H217,"0")+IFERROR(Y218/H218,"0")+IFERROR(Y219/H219,"0")+IFERROR(Y220/H220,"0")</f>
        <v>132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0.85931999999999986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311</v>
      </c>
      <c r="Y222" s="665">
        <f>IFERROR(SUM(Y212:Y220),"0")</f>
        <v>316.8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19</v>
      </c>
      <c r="Y224" s="664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20.995000000000005</v>
      </c>
      <c r="BN224" s="64">
        <f>IFERROR(Y224*I224/H224,"0")</f>
        <v>21.216000000000001</v>
      </c>
      <c r="BO224" s="64">
        <f>IFERROR(1/J224*(X224/H224),"0")</f>
        <v>4.3498168498168503E-2</v>
      </c>
      <c r="BP224" s="64">
        <f>IFERROR(1/J224*(Y224/H224),"0")</f>
        <v>4.3956043956043959E-2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7.916666666666667</v>
      </c>
      <c r="Y226" s="665">
        <f>IFERROR(Y224/H224,"0")+IFERROR(Y225/H225,"0")</f>
        <v>8</v>
      </c>
      <c r="Z226" s="665">
        <f>IFERROR(IF(Z224="",0,Z224),"0")+IFERROR(IF(Z225="",0,Z225),"0")</f>
        <v>5.2080000000000001E-2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19</v>
      </c>
      <c r="Y227" s="665">
        <f>IFERROR(SUM(Y224:Y225),"0")</f>
        <v>19.2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4</v>
      </c>
      <c r="Y230" s="664">
        <f t="shared" ref="Y230:Y237" si="43">IFERROR(IF(X230="",0,CEILING((X230/$H230),1)*$H230),"")</f>
        <v>11.6</v>
      </c>
      <c r="Z230" s="36">
        <f>IFERROR(IF(Y230=0,"",ROUNDUP(Y230/H230,0)*0.01898),"")</f>
        <v>1.898E-2</v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4.1500000000000004</v>
      </c>
      <c r="BN230" s="64">
        <f t="shared" ref="BN230:BN237" si="45">IFERROR(Y230*I230/H230,"0")</f>
        <v>12.035</v>
      </c>
      <c r="BO230" s="64">
        <f t="shared" ref="BO230:BO237" si="46">IFERROR(1/J230*(X230/H230),"0")</f>
        <v>5.387931034482759E-3</v>
      </c>
      <c r="BP230" s="64">
        <f t="shared" ref="BP230:BP237" si="47">IFERROR(1/J230*(Y230/H230),"0")</f>
        <v>1.5625E-2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22</v>
      </c>
      <c r="Y235" s="664">
        <f t="shared" si="43"/>
        <v>24</v>
      </c>
      <c r="Z235" s="36">
        <f>IFERROR(IF(Y235=0,"",ROUNDUP(Y235/H235,0)*0.00902),"")</f>
        <v>5.4120000000000001E-2</v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23.155000000000001</v>
      </c>
      <c r="BN235" s="64">
        <f t="shared" si="45"/>
        <v>25.259999999999998</v>
      </c>
      <c r="BO235" s="64">
        <f t="shared" si="46"/>
        <v>4.1666666666666671E-2</v>
      </c>
      <c r="BP235" s="64">
        <f t="shared" si="47"/>
        <v>4.5454545454545456E-2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5.8448275862068968</v>
      </c>
      <c r="Y238" s="665">
        <f>IFERROR(Y230/H230,"0")+IFERROR(Y231/H231,"0")+IFERROR(Y232/H232,"0")+IFERROR(Y233/H233,"0")+IFERROR(Y234/H234,"0")+IFERROR(Y235/H235,"0")+IFERROR(Y236/H236,"0")+IFERROR(Y237/H237,"0")</f>
        <v>7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7.3099999999999998E-2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26</v>
      </c>
      <c r="Y239" s="665">
        <f>IFERROR(SUM(Y230:Y237),"0")</f>
        <v>35.6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2</v>
      </c>
      <c r="Y246" s="664">
        <f>IFERROR(IF(X246="",0,CEILING((X246/$H246),1)*$H246),"")</f>
        <v>2.16</v>
      </c>
      <c r="Z246" s="36">
        <f>IFERROR(IF(Y246=0,"",ROUNDUP(Y246/H246,0)*0.0059),"")</f>
        <v>5.8999999999999999E-3</v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2.175925925925926</v>
      </c>
      <c r="BN246" s="64">
        <f>IFERROR(Y246*I246/H246,"0")</f>
        <v>2.35</v>
      </c>
      <c r="BO246" s="64">
        <f>IFERROR(1/J246*(X246/H246),"0")</f>
        <v>4.2866941015089156E-3</v>
      </c>
      <c r="BP246" s="64">
        <f>IFERROR(1/J246*(Y246/H246),"0")</f>
        <v>4.6296296296296294E-3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0.92592592592592582</v>
      </c>
      <c r="Y247" s="665">
        <f>IFERROR(Y246/H246,"0")</f>
        <v>1</v>
      </c>
      <c r="Z247" s="665">
        <f>IFERROR(IF(Z246="",0,Z246),"0")</f>
        <v>5.8999999999999999E-3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2</v>
      </c>
      <c r="Y248" s="665">
        <f>IFERROR(SUM(Y246:Y246),"0")</f>
        <v>2.16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27</v>
      </c>
      <c r="Y279" s="664">
        <f>IFERROR(IF(X279="",0,CEILING((X279/$H279),1)*$H279),"")</f>
        <v>28.799999999999997</v>
      </c>
      <c r="Z279" s="36">
        <f>IFERROR(IF(Y279=0,"",ROUNDUP(Y279/H279,0)*0.00651),"")</f>
        <v>7.8119999999999995E-2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29.835000000000001</v>
      </c>
      <c r="BN279" s="64">
        <f>IFERROR(Y279*I279/H279,"0")</f>
        <v>31.824000000000002</v>
      </c>
      <c r="BO279" s="64">
        <f>IFERROR(1/J279*(X279/H279),"0")</f>
        <v>6.1813186813186816E-2</v>
      </c>
      <c r="BP279" s="64">
        <f>IFERROR(1/J279*(Y279/H279),"0")</f>
        <v>6.5934065934065936E-2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38</v>
      </c>
      <c r="Y280" s="664">
        <f>IFERROR(IF(X280="",0,CEILING((X280/$H280),1)*$H280),"")</f>
        <v>38.4</v>
      </c>
      <c r="Z280" s="36">
        <f>IFERROR(IF(Y280=0,"",ROUNDUP(Y280/H280,0)*0.00651),"")</f>
        <v>0.10416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40.85</v>
      </c>
      <c r="BN280" s="64">
        <f>IFERROR(Y280*I280/H280,"0")</f>
        <v>41.28</v>
      </c>
      <c r="BO280" s="64">
        <f>IFERROR(1/J280*(X280/H280),"0")</f>
        <v>8.6996336996337006E-2</v>
      </c>
      <c r="BP280" s="64">
        <f>IFERROR(1/J280*(Y280/H280),"0")</f>
        <v>8.7912087912087919E-2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27.083333333333336</v>
      </c>
      <c r="Y282" s="665">
        <f>IFERROR(Y277/H277,"0")+IFERROR(Y278/H278,"0")+IFERROR(Y279/H279,"0")+IFERROR(Y280/H280,"0")+IFERROR(Y281/H281,"0")</f>
        <v>28</v>
      </c>
      <c r="Z282" s="665">
        <f>IFERROR(IF(Z277="",0,Z277),"0")+IFERROR(IF(Z278="",0,Z278),"0")+IFERROR(IF(Z279="",0,Z279),"0")+IFERROR(IF(Z280="",0,Z280),"0")+IFERROR(IF(Z281="",0,Z281),"0")</f>
        <v>0.18228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65</v>
      </c>
      <c r="Y283" s="665">
        <f>IFERROR(SUM(Y277:Y281),"0")</f>
        <v>67.199999999999989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49</v>
      </c>
      <c r="Y343" s="664">
        <f>IFERROR(IF(X343="",0,CEILING((X343/$H343),1)*$H343),"")</f>
        <v>50.400000000000006</v>
      </c>
      <c r="Z343" s="36">
        <f>IFERROR(IF(Y343=0,"",ROUNDUP(Y343/H343,0)*0.01898),"")</f>
        <v>0.11388000000000001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52.027499999999996</v>
      </c>
      <c r="BN343" s="64">
        <f>IFERROR(Y343*I343/H343,"0")</f>
        <v>53.514000000000003</v>
      </c>
      <c r="BO343" s="64">
        <f>IFERROR(1/J343*(X343/H343),"0")</f>
        <v>9.1145833333333329E-2</v>
      </c>
      <c r="BP343" s="64">
        <f>IFERROR(1/J343*(Y343/H343),"0")</f>
        <v>9.375E-2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32</v>
      </c>
      <c r="Y344" s="664">
        <f>IFERROR(IF(X344="",0,CEILING((X344/$H344),1)*$H344),"")</f>
        <v>39</v>
      </c>
      <c r="Z344" s="36">
        <f>IFERROR(IF(Y344=0,"",ROUNDUP(Y344/H344,0)*0.01898),"")</f>
        <v>9.4899999999999998E-2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34.129230769230773</v>
      </c>
      <c r="BN344" s="64">
        <f>IFERROR(Y344*I344/H344,"0")</f>
        <v>41.595000000000006</v>
      </c>
      <c r="BO344" s="64">
        <f>IFERROR(1/J344*(X344/H344),"0")</f>
        <v>6.4102564102564111E-2</v>
      </c>
      <c r="BP344" s="64">
        <f>IFERROR(1/J344*(Y344/H344),"0")</f>
        <v>7.8125E-2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16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16.988571428571429</v>
      </c>
      <c r="BN345" s="64">
        <f>IFERROR(Y345*I345/H345,"0")</f>
        <v>17.838000000000001</v>
      </c>
      <c r="BO345" s="64">
        <f>IFERROR(1/J345*(X345/H345),"0")</f>
        <v>2.976190476190476E-2</v>
      </c>
      <c r="BP345" s="64">
        <f>IFERROR(1/J345*(Y345/H345),"0")</f>
        <v>3.125E-2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11.840659340659341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97</v>
      </c>
      <c r="Y347" s="665">
        <f>IFERROR(SUM(Y343:Y345),"0")</f>
        <v>106.2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3</v>
      </c>
      <c r="Y363" s="664">
        <f>IFERROR(IF(X363="",0,CEILING((X363/$H363),1)*$H363),"")</f>
        <v>3.6</v>
      </c>
      <c r="Z363" s="36">
        <f>IFERROR(IF(Y363=0,"",ROUNDUP(Y363/H363,0)*0.00651),"")</f>
        <v>1.302E-2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3.38</v>
      </c>
      <c r="BN363" s="64">
        <f>IFERROR(Y363*I363/H363,"0")</f>
        <v>4.056</v>
      </c>
      <c r="BO363" s="64">
        <f>IFERROR(1/J363*(X363/H363),"0")</f>
        <v>9.1575091575091579E-3</v>
      </c>
      <c r="BP363" s="64">
        <f>IFERROR(1/J363*(Y363/H363),"0")</f>
        <v>1.098901098901099E-2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1.6666666666666665</v>
      </c>
      <c r="Y364" s="665">
        <f>IFERROR(Y363/H363,"0")</f>
        <v>2</v>
      </c>
      <c r="Z364" s="665">
        <f>IFERROR(IF(Z363="",0,Z363),"0")</f>
        <v>1.302E-2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3</v>
      </c>
      <c r="Y365" s="665">
        <f>IFERROR(SUM(Y363:Y363),"0")</f>
        <v>3.6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24</v>
      </c>
      <c r="Y380" s="664">
        <f t="shared" si="58"/>
        <v>30</v>
      </c>
      <c r="Z380" s="36">
        <f>IFERROR(IF(Y380=0,"",ROUNDUP(Y380/H380,0)*0.02175),"")</f>
        <v>4.3499999999999997E-2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24.767999999999997</v>
      </c>
      <c r="BN380" s="64">
        <f t="shared" si="60"/>
        <v>30.96</v>
      </c>
      <c r="BO380" s="64">
        <f t="shared" si="61"/>
        <v>3.3333333333333333E-2</v>
      </c>
      <c r="BP380" s="64">
        <f t="shared" si="62"/>
        <v>4.1666666666666664E-2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1.6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4.3499999999999997E-2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24</v>
      </c>
      <c r="Y386" s="665">
        <f>IFERROR(SUM(Y375:Y384),"0")</f>
        <v>30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40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42.306666666666665</v>
      </c>
      <c r="BN394" s="64">
        <f>IFERROR(Y394*I394/H394,"0")</f>
        <v>47.594999999999999</v>
      </c>
      <c r="BO394" s="64">
        <f>IFERROR(1/J394*(X394/H394),"0")</f>
        <v>6.9444444444444448E-2</v>
      </c>
      <c r="BP394" s="64">
        <f>IFERROR(1/J394*(Y394/H394),"0")</f>
        <v>7.8125E-2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4.4444444444444446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40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161</v>
      </c>
      <c r="Y398" s="664">
        <f>IFERROR(IF(X398="",0,CEILING((X398/$H398),1)*$H398),"")</f>
        <v>162</v>
      </c>
      <c r="Z398" s="36">
        <f>IFERROR(IF(Y398=0,"",ROUNDUP(Y398/H398,0)*0.01898),"")</f>
        <v>0.34164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170.28433333333334</v>
      </c>
      <c r="BN398" s="64">
        <f>IFERROR(Y398*I398/H398,"0")</f>
        <v>171.34199999999998</v>
      </c>
      <c r="BO398" s="64">
        <f>IFERROR(1/J398*(X398/H398),"0")</f>
        <v>0.2795138888888889</v>
      </c>
      <c r="BP398" s="64">
        <f>IFERROR(1/J398*(Y398/H398),"0")</f>
        <v>0.28125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17.888888888888889</v>
      </c>
      <c r="Y399" s="665">
        <f>IFERROR(Y398/H398,"0")</f>
        <v>18</v>
      </c>
      <c r="Z399" s="665">
        <f>IFERROR(IF(Z398="",0,Z398),"0")</f>
        <v>0.34164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161</v>
      </c>
      <c r="Y400" s="665">
        <f>IFERROR(SUM(Y398:Y398),"0")</f>
        <v>162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43</v>
      </c>
      <c r="Y430" s="664">
        <f t="shared" ref="Y430:Y441" si="63">IFERROR(IF(X430="",0,CEILING((X430/$H430),1)*$H430),"")</f>
        <v>43.2</v>
      </c>
      <c r="Z430" s="36">
        <f>IFERROR(IF(Y430=0,"",ROUNDUP(Y430/H430,0)*0.00902),"")</f>
        <v>7.2160000000000002E-2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44.672222222222224</v>
      </c>
      <c r="BN430" s="64">
        <f t="shared" ref="BN430:BN441" si="65">IFERROR(Y430*I430/H430,"0")</f>
        <v>44.88</v>
      </c>
      <c r="BO430" s="64">
        <f t="shared" ref="BO430:BO441" si="66">IFERROR(1/J430*(X430/H430),"0")</f>
        <v>6.0325476992143662E-2</v>
      </c>
      <c r="BP430" s="64">
        <f t="shared" ref="BP430:BP441" si="67">IFERROR(1/J430*(Y430/H430),"0")</f>
        <v>6.0606060606060608E-2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23</v>
      </c>
      <c r="Y440" s="664">
        <f t="shared" si="63"/>
        <v>23.1</v>
      </c>
      <c r="Z440" s="36">
        <f t="shared" si="68"/>
        <v>5.5220000000000005E-2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24.423809523809524</v>
      </c>
      <c r="BN440" s="64">
        <f t="shared" si="65"/>
        <v>24.53</v>
      </c>
      <c r="BO440" s="64">
        <f t="shared" si="66"/>
        <v>4.680504680504681E-2</v>
      </c>
      <c r="BP440" s="64">
        <f t="shared" si="67"/>
        <v>4.7008547008547015E-2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18.915343915343914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19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0.12737999999999999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66</v>
      </c>
      <c r="Y443" s="665">
        <f>IFERROR(SUM(Y430:Y441),"0")</f>
        <v>66.300000000000011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36</v>
      </c>
      <c r="Y456" s="664">
        <f>IFERROR(IF(X456="",0,CEILING((X456/$H456),1)*$H456),"")</f>
        <v>37.800000000000004</v>
      </c>
      <c r="Z456" s="36">
        <f>IFERROR(IF(Y456=0,"",ROUNDUP(Y456/H456,0)*0.00902),"")</f>
        <v>6.3140000000000002E-2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37.4</v>
      </c>
      <c r="BN456" s="64">
        <f>IFERROR(Y456*I456/H456,"0")</f>
        <v>39.270000000000003</v>
      </c>
      <c r="BO456" s="64">
        <f>IFERROR(1/J456*(X456/H456),"0")</f>
        <v>5.0505050505050504E-2</v>
      </c>
      <c r="BP456" s="64">
        <f>IFERROR(1/J456*(Y456/H456),"0")</f>
        <v>5.3030303030303032E-2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6.6666666666666661</v>
      </c>
      <c r="Y460" s="665">
        <f>IFERROR(Y456/H456,"0")+IFERROR(Y457/H457,"0")+IFERROR(Y458/H458,"0")+IFERROR(Y459/H459,"0")</f>
        <v>7</v>
      </c>
      <c r="Z460" s="665">
        <f>IFERROR(IF(Z456="",0,Z456),"0")+IFERROR(IF(Z457="",0,Z457),"0")+IFERROR(IF(Z458="",0,Z458),"0")+IFERROR(IF(Z459="",0,Z459),"0")</f>
        <v>6.3140000000000002E-2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36</v>
      </c>
      <c r="Y461" s="665">
        <f>IFERROR(SUM(Y456:Y459),"0")</f>
        <v>37.800000000000004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2</v>
      </c>
      <c r="Y464" s="664">
        <f>IFERROR(IF(X464="",0,CEILING((X464/$H464),1)*$H464),"")</f>
        <v>2.4</v>
      </c>
      <c r="Z464" s="36">
        <f>IFERROR(IF(Y464=0,"",ROUNDUP(Y464/H464,0)*0.00502),"")</f>
        <v>1.004E-2</v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2.2866666666666671</v>
      </c>
      <c r="BN464" s="64">
        <f>IFERROR(Y464*I464/H464,"0")</f>
        <v>2.7440000000000002</v>
      </c>
      <c r="BO464" s="64">
        <f>IFERROR(1/J464*(X464/H464),"0")</f>
        <v>7.1225071225071235E-3</v>
      </c>
      <c r="BP464" s="64">
        <f>IFERROR(1/J464*(Y464/H464),"0")</f>
        <v>8.5470085470085479E-3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7</v>
      </c>
      <c r="Y465" s="664">
        <f>IFERROR(IF(X465="",0,CEILING((X465/$H465),1)*$H465),"")</f>
        <v>7.1999999999999993</v>
      </c>
      <c r="Z465" s="36">
        <f>IFERROR(IF(Y465=0,"",ROUNDUP(Y465/H465,0)*0.00651),"")</f>
        <v>3.9059999999999997E-2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12.250000000000002</v>
      </c>
      <c r="BN465" s="64">
        <f>IFERROR(Y465*I465/H465,"0")</f>
        <v>12.6</v>
      </c>
      <c r="BO465" s="64">
        <f>IFERROR(1/J465*(X465/H465),"0")</f>
        <v>3.2051282051282055E-2</v>
      </c>
      <c r="BP465" s="64">
        <f>IFERROR(1/J465*(Y465/H465),"0")</f>
        <v>3.2967032967032968E-2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7.5000000000000009</v>
      </c>
      <c r="Y466" s="665">
        <f>IFERROR(Y464/H464,"0")+IFERROR(Y465/H465,"0")</f>
        <v>8</v>
      </c>
      <c r="Z466" s="665">
        <f>IFERROR(IF(Z464="",0,Z464),"0")+IFERROR(IF(Z465="",0,Z465),"0")</f>
        <v>4.9099999999999998E-2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9</v>
      </c>
      <c r="Y467" s="665">
        <f>IFERROR(SUM(Y464:Y465),"0")</f>
        <v>9.6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41</v>
      </c>
      <c r="Y560" s="664">
        <f>IFERROR(IF(X560="",0,CEILING((X560/$H560),1)*$H560),"")</f>
        <v>45</v>
      </c>
      <c r="Z560" s="36">
        <f>IFERROR(IF(Y560=0,"",ROUNDUP(Y560/H560,0)*0.01898),"")</f>
        <v>9.4899999999999998E-2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43.364333333333335</v>
      </c>
      <c r="BN560" s="64">
        <f>IFERROR(Y560*I560/H560,"0")</f>
        <v>47.594999999999999</v>
      </c>
      <c r="BO560" s="64">
        <f>IFERROR(1/J560*(X560/H560),"0")</f>
        <v>7.1180555555555552E-2</v>
      </c>
      <c r="BP560" s="64">
        <f>IFERROR(1/J560*(Y560/H560),"0")</f>
        <v>7.8125E-2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4.5555555555555554</v>
      </c>
      <c r="Y565" s="665">
        <f>IFERROR(Y560/H560,"0")+IFERROR(Y561/H561,"0")+IFERROR(Y562/H562,"0")+IFERROR(Y563/H563,"0")+IFERROR(Y564/H564,"0")</f>
        <v>5</v>
      </c>
      <c r="Z565" s="665">
        <f>IFERROR(IF(Z560="",0,Z560),"0")+IFERROR(IF(Z561="",0,Z561),"0")+IFERROR(IF(Z562="",0,Z562),"0")+IFERROR(IF(Z563="",0,Z563),"0")+IFERROR(IF(Z564="",0,Z564),"0")</f>
        <v>9.4899999999999998E-2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41</v>
      </c>
      <c r="Y566" s="665">
        <f>IFERROR(SUM(Y560:Y564),"0")</f>
        <v>45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1462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1574.54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1563.0034106634109</v>
      </c>
      <c r="Y592" s="665">
        <f>IFERROR(SUM(BN22:BN588),"0")</f>
        <v>1681.6920000000002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3</v>
      </c>
      <c r="Y593" s="38">
        <f>ROUNDUP(SUM(BP22:BP588),0)</f>
        <v>3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1638.0034106634109</v>
      </c>
      <c r="Y594" s="665">
        <f>GrossWeightTotalR+PalletQtyTotalR*25</f>
        <v>1756.6920000000002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372.69686258824197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393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3.5177000000000005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32.400000000000006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97.800000000000011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98.7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110.7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81.48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543.00000000000011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37.760000000000005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67.199999999999989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106.2</v>
      </c>
      <c r="V601" s="46">
        <f>IFERROR(Y363*1,"0")+IFERROR(Y367*1,"0")+IFERROR(Y368*1,"0")+IFERROR(Y369*1,"0")</f>
        <v>3.6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237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66.300000000000011</v>
      </c>
      <c r="Z601" s="46">
        <f>IFERROR(Y451*1,"0")+IFERROR(Y452*1,"0")+IFERROR(Y456*1,"0")+IFERROR(Y457*1,"0")+IFERROR(Y458*1,"0")+IFERROR(Y459*1,"0")</f>
        <v>37.800000000000004</v>
      </c>
      <c r="AA601" s="46">
        <f>IFERROR(Y464*1,"0")+IFERROR(Y465*1,"0")</f>
        <v>9.6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45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2025-04-11T09:14:45Z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