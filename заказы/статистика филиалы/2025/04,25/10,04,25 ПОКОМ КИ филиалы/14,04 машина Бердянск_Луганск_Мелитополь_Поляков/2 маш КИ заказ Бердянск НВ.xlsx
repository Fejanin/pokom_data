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8E8B1F0F-1CA8-49E9-9E68-0ECED09F7859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F10" i="1"/>
  <c r="J9" i="1"/>
  <c r="F9" i="1"/>
  <c r="A9" i="1"/>
  <c r="A10" i="1" s="1"/>
  <c r="D7" i="1"/>
  <c r="Q6" i="1"/>
  <c r="P2" i="1"/>
  <c r="X594" i="1" l="1"/>
  <c r="Z453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BP180" i="1"/>
  <c r="BN180" i="1"/>
  <c r="Z180" i="1"/>
  <c r="Z183" i="1" s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BP235" i="1"/>
  <c r="BN235" i="1"/>
  <c r="Z235" i="1"/>
  <c r="Z238" i="1" s="1"/>
  <c r="BP257" i="1"/>
  <c r="BN257" i="1"/>
  <c r="Z257" i="1"/>
  <c r="Y261" i="1"/>
  <c r="BP271" i="1"/>
  <c r="BN271" i="1"/>
  <c r="Z271" i="1"/>
  <c r="Z273" i="1" s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Z408" i="1" s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Z23" i="1"/>
  <c r="Z28" i="1" s="1"/>
  <c r="BN23" i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BN37" i="1"/>
  <c r="Y592" i="1" s="1"/>
  <c r="Y594" i="1" s="1"/>
  <c r="BP37" i="1"/>
  <c r="Z39" i="1"/>
  <c r="BN39" i="1"/>
  <c r="Y42" i="1"/>
  <c r="D601" i="1"/>
  <c r="Z50" i="1"/>
  <c r="Z55" i="1" s="1"/>
  <c r="BN50" i="1"/>
  <c r="Z52" i="1"/>
  <c r="BN52" i="1"/>
  <c r="Z54" i="1"/>
  <c r="BN54" i="1"/>
  <c r="Y55" i="1"/>
  <c r="Z58" i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Z83" i="1" s="1"/>
  <c r="BN80" i="1"/>
  <c r="BP80" i="1"/>
  <c r="Z82" i="1"/>
  <c r="BN82" i="1"/>
  <c r="Z87" i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BN106" i="1"/>
  <c r="BP106" i="1"/>
  <c r="Z108" i="1"/>
  <c r="BN108" i="1"/>
  <c r="Y111" i="1"/>
  <c r="Z114" i="1"/>
  <c r="Z116" i="1" s="1"/>
  <c r="BN114" i="1"/>
  <c r="Z119" i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BP259" i="1"/>
  <c r="BN259" i="1"/>
  <c r="Z259" i="1"/>
  <c r="Y273" i="1"/>
  <c r="Z282" i="1"/>
  <c r="BP278" i="1"/>
  <c r="BN278" i="1"/>
  <c r="Z278" i="1"/>
  <c r="Y282" i="1"/>
  <c r="BP309" i="1"/>
  <c r="BN309" i="1"/>
  <c r="Z309" i="1"/>
  <c r="Z310" i="1" s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Y340" i="1"/>
  <c r="BP344" i="1"/>
  <c r="BN344" i="1"/>
  <c r="Z344" i="1"/>
  <c r="Z346" i="1" s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Y454" i="1"/>
  <c r="BP457" i="1"/>
  <c r="BN457" i="1"/>
  <c r="Z457" i="1"/>
  <c r="Z460" i="1" s="1"/>
  <c r="Y460" i="1"/>
  <c r="BP481" i="1"/>
  <c r="BN481" i="1"/>
  <c r="Z481" i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Z340" i="1" s="1"/>
  <c r="Y347" i="1"/>
  <c r="Y353" i="1"/>
  <c r="BP349" i="1"/>
  <c r="BN349" i="1"/>
  <c r="Z349" i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Y316" i="1"/>
  <c r="U601" i="1"/>
  <c r="Y325" i="1"/>
  <c r="Y467" i="1"/>
  <c r="AB601" i="1"/>
  <c r="Y472" i="1"/>
  <c r="BP483" i="1"/>
  <c r="BN483" i="1"/>
  <c r="Z483" i="1"/>
  <c r="Z495" i="1" s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47" i="1" l="1"/>
  <c r="Z442" i="1"/>
  <c r="Y595" i="1"/>
  <c r="Z370" i="1"/>
  <c r="Z565" i="1"/>
  <c r="Z523" i="1"/>
  <c r="Z528" i="1"/>
  <c r="Z385" i="1"/>
  <c r="Z353" i="1"/>
  <c r="Z261" i="1"/>
  <c r="Z221" i="1"/>
  <c r="Z128" i="1"/>
  <c r="Z110" i="1"/>
  <c r="Z90" i="1"/>
  <c r="Z62" i="1"/>
  <c r="Z41" i="1"/>
  <c r="Z596" i="1" s="1"/>
  <c r="Z161" i="1"/>
  <c r="Z517" i="1"/>
  <c r="Z332" i="1"/>
  <c r="Y591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<sst xmlns="http://schemas.openxmlformats.org/spreadsheetml/2006/main" count="2720" uniqueCount="975">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</sst>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71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0</v>
      </c>
      <c r="Y31" s="66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0</v>
      </c>
      <c r="Y32" s="665">
        <f>IFERROR(Y31/H31,"0")</f>
        <v>0</v>
      </c>
      <c r="Z32" s="665">
        <f>IFERROR(IF(Z31="",0,Z31),"0")</f>
        <v>0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0</v>
      </c>
      <c r="Y33" s="665">
        <f>IFERROR(SUM(Y31:Y31),"0")</f>
        <v>0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0</v>
      </c>
      <c r="Y37" s="664">
        <f>IFERROR(IF(X37="",0,CEILING((X37/$H37),1)*$H37),"")</f>
        <v>0</v>
      </c>
      <c r="Z37" s="36" t="str">
        <f>IFERROR(IF(Y37=0,"",ROUNDUP(Y37/H37,0)*0.01898),"")</f>
        <v/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0</v>
      </c>
      <c r="Y41" s="665">
        <f>IFERROR(Y37/H37,"0")+IFERROR(Y38/H38,"0")+IFERROR(Y39/H39,"0")+IFERROR(Y40/H40,"0")</f>
        <v>0</v>
      </c>
      <c r="Z41" s="665">
        <f>IFERROR(IF(Z37="",0,Z37),"0")+IFERROR(IF(Z38="",0,Z38),"0")+IFERROR(IF(Z39="",0,Z39),"0")+IFERROR(IF(Z40="",0,Z40),"0")</f>
        <v>0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0</v>
      </c>
      <c r="Y42" s="665">
        <f>IFERROR(SUM(Y37:Y40),"0")</f>
        <v>0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0</v>
      </c>
      <c r="Y49" s="664">
        <f t="shared" ref="Y49:Y54" si="6">IFERROR(IF(X49="",0,CEILING((X49/$H49),1)*$H49),"")</f>
        <v>0</v>
      </c>
      <c r="Z49" s="36" t="str">
        <f>IFERROR(IF(Y49=0,"",ROUNDUP(Y49/H49,0)*0.01898),"")</f>
        <v/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0</v>
      </c>
      <c r="BN49" s="64">
        <f t="shared" ref="BN49:BN54" si="8">IFERROR(Y49*I49/H49,"0")</f>
        <v>0</v>
      </c>
      <c r="BO49" s="64">
        <f t="shared" ref="BO49:BO54" si="9">IFERROR(1/J49*(X49/H49),"0")</f>
        <v>0</v>
      </c>
      <c r="BP49" s="64">
        <f t="shared" ref="BP49:BP54" si="10">IFERROR(1/J49*(Y49/H49),"0")</f>
        <v>0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10</v>
      </c>
      <c r="Y52" s="664">
        <f t="shared" si="6"/>
        <v>12</v>
      </c>
      <c r="Z52" s="36">
        <f>IFERROR(IF(Y52=0,"",ROUNDUP(Y52/H52,0)*0.00902),"")</f>
        <v>2.7060000000000001E-2</v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10.525</v>
      </c>
      <c r="BN52" s="64">
        <f t="shared" si="8"/>
        <v>12.629999999999999</v>
      </c>
      <c r="BO52" s="64">
        <f t="shared" si="9"/>
        <v>1.893939393939394E-2</v>
      </c>
      <c r="BP52" s="64">
        <f t="shared" si="10"/>
        <v>2.2727272727272728E-2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2.5</v>
      </c>
      <c r="Y55" s="665">
        <f>IFERROR(Y49/H49,"0")+IFERROR(Y50/H50,"0")+IFERROR(Y51/H51,"0")+IFERROR(Y52/H52,"0")+IFERROR(Y53/H53,"0")+IFERROR(Y54/H54,"0")</f>
        <v>3</v>
      </c>
      <c r="Z55" s="665">
        <f>IFERROR(IF(Z49="",0,Z49),"0")+IFERROR(IF(Z50="",0,Z50),"0")+IFERROR(IF(Z51="",0,Z51),"0")+IFERROR(IF(Z52="",0,Z52),"0")+IFERROR(IF(Z53="",0,Z53),"0")+IFERROR(IF(Z54="",0,Z54),"0")</f>
        <v>2.7060000000000001E-2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10</v>
      </c>
      <c r="Y56" s="665">
        <f>IFERROR(SUM(Y49:Y54),"0")</f>
        <v>12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0</v>
      </c>
      <c r="Y66" s="66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0</v>
      </c>
      <c r="Y68" s="665">
        <f>IFERROR(Y65/H65,"0")+IFERROR(Y66/H66,"0")+IFERROR(Y67/H67,"0")</f>
        <v>0</v>
      </c>
      <c r="Z68" s="665">
        <f>IFERROR(IF(Z65="",0,Z65),"0")+IFERROR(IF(Z66="",0,Z66),"0")+IFERROR(IF(Z67="",0,Z67),"0")</f>
        <v>0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0</v>
      </c>
      <c r="Y69" s="665">
        <f>IFERROR(SUM(Y65:Y67),"0")</f>
        <v>0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0</v>
      </c>
      <c r="Y72" s="664">
        <f t="shared" si="11"/>
        <v>0</v>
      </c>
      <c r="Z72" s="36" t="str">
        <f>IFERROR(IF(Y72=0,"",ROUNDUP(Y72/H72,0)*0.01898),"")</f>
        <v/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0</v>
      </c>
      <c r="BN72" s="64">
        <f t="shared" si="13"/>
        <v>0</v>
      </c>
      <c r="BO72" s="64">
        <f t="shared" si="14"/>
        <v>0</v>
      </c>
      <c r="BP72" s="64">
        <f t="shared" si="15"/>
        <v>0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0</v>
      </c>
      <c r="Y77" s="665">
        <f>IFERROR(Y71/H71,"0")+IFERROR(Y72/H72,"0")+IFERROR(Y73/H73,"0")+IFERROR(Y74/H74,"0")+IFERROR(Y75/H75,"0")+IFERROR(Y76/H76,"0")</f>
        <v>0</v>
      </c>
      <c r="Z77" s="665">
        <f>IFERROR(IF(Z71="",0,Z71),"0")+IFERROR(IF(Z72="",0,Z72),"0")+IFERROR(IF(Z73="",0,Z73),"0")+IFERROR(IF(Z74="",0,Z74),"0")+IFERROR(IF(Z75="",0,Z75),"0")+IFERROR(IF(Z76="",0,Z76),"0")</f>
        <v>0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0</v>
      </c>
      <c r="Y78" s="665">
        <f>IFERROR(SUM(Y71:Y76),"0")</f>
        <v>0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0</v>
      </c>
      <c r="Y80" s="664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0</v>
      </c>
      <c r="Y83" s="665">
        <f>IFERROR(Y80/H80,"0")+IFERROR(Y81/H81,"0")+IFERROR(Y82/H82,"0")</f>
        <v>0</v>
      </c>
      <c r="Z83" s="665">
        <f>IFERROR(IF(Z80="",0,Z80),"0")+IFERROR(IF(Z81="",0,Z81),"0")+IFERROR(IF(Z82="",0,Z82),"0")</f>
        <v>0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0</v>
      </c>
      <c r="Y84" s="665">
        <f>IFERROR(SUM(Y80:Y82),"0")</f>
        <v>0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45</v>
      </c>
      <c r="Y87" s="664">
        <f>IFERROR(IF(X87="",0,CEILING((X87/$H87),1)*$H87),"")</f>
        <v>54</v>
      </c>
      <c r="Z87" s="36">
        <f>IFERROR(IF(Y87=0,"",ROUNDUP(Y87/H87,0)*0.01898),"")</f>
        <v>9.4899999999999998E-2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46.812499999999993</v>
      </c>
      <c r="BN87" s="64">
        <f>IFERROR(Y87*I87/H87,"0")</f>
        <v>56.17499999999999</v>
      </c>
      <c r="BO87" s="64">
        <f>IFERROR(1/J87*(X87/H87),"0")</f>
        <v>6.5104166666666657E-2</v>
      </c>
      <c r="BP87" s="64">
        <f>IFERROR(1/J87*(Y87/H87),"0")</f>
        <v>7.8125E-2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0</v>
      </c>
      <c r="Y89" s="664">
        <f>IFERROR(IF(X89="",0,CEILING((X89/$H89),1)*$H89),"")</f>
        <v>0</v>
      </c>
      <c r="Z89" s="36" t="str">
        <f>IFERROR(IF(Y89=0,"",ROUNDUP(Y89/H89,0)*0.00902),"")</f>
        <v/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4.1666666666666661</v>
      </c>
      <c r="Y90" s="665">
        <f>IFERROR(Y87/H87,"0")+IFERROR(Y88/H88,"0")+IFERROR(Y89/H89,"0")</f>
        <v>5</v>
      </c>
      <c r="Z90" s="665">
        <f>IFERROR(IF(Z87="",0,Z87),"0")+IFERROR(IF(Z88="",0,Z88),"0")+IFERROR(IF(Z89="",0,Z89),"0")</f>
        <v>9.4899999999999998E-2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45</v>
      </c>
      <c r="Y91" s="665">
        <f>IFERROR(SUM(Y87:Y89),"0")</f>
        <v>54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26</v>
      </c>
      <c r="Y94" s="664">
        <f t="shared" si="16"/>
        <v>33.6</v>
      </c>
      <c r="Z94" s="36">
        <f>IFERROR(IF(Y94=0,"",ROUNDUP(Y94/H94,0)*0.01898),"")</f>
        <v>7.5920000000000001E-2</v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27.60642857142857</v>
      </c>
      <c r="BN94" s="64">
        <f t="shared" si="18"/>
        <v>35.676000000000002</v>
      </c>
      <c r="BO94" s="64">
        <f t="shared" si="19"/>
        <v>4.8363095238095233E-2</v>
      </c>
      <c r="BP94" s="64">
        <f t="shared" si="20"/>
        <v>6.25E-2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13</v>
      </c>
      <c r="Y98" s="664">
        <f t="shared" si="16"/>
        <v>13.5</v>
      </c>
      <c r="Z98" s="36">
        <f>IFERROR(IF(Y98=0,"",ROUNDUP(Y98/H98,0)*0.00651),"")</f>
        <v>3.2550000000000003E-2</v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14.213333333333331</v>
      </c>
      <c r="BN98" s="64">
        <f t="shared" si="18"/>
        <v>14.759999999999998</v>
      </c>
      <c r="BO98" s="64">
        <f t="shared" si="19"/>
        <v>2.6455026455026457E-2</v>
      </c>
      <c r="BP98" s="64">
        <f t="shared" si="20"/>
        <v>2.7472527472527476E-2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7.9100529100529098</v>
      </c>
      <c r="Y102" s="665">
        <f>IFERROR(Y93/H93,"0")+IFERROR(Y94/H94,"0")+IFERROR(Y95/H95,"0")+IFERROR(Y96/H96,"0")+IFERROR(Y97/H97,"0")+IFERROR(Y98/H98,"0")+IFERROR(Y99/H99,"0")+IFERROR(Y100/H100,"0")+IFERROR(Y101/H101,"0")</f>
        <v>9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0.10847000000000001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39</v>
      </c>
      <c r="Y103" s="665">
        <f>IFERROR(SUM(Y93:Y101),"0")</f>
        <v>47.1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55</v>
      </c>
      <c r="Y106" s="664">
        <f>IFERROR(IF(X106="",0,CEILING((X106/$H106),1)*$H106),"")</f>
        <v>64.800000000000011</v>
      </c>
      <c r="Z106" s="36">
        <f>IFERROR(IF(Y106=0,"",ROUNDUP(Y106/H106,0)*0.01898),"")</f>
        <v>0.11388000000000001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57.215277777777771</v>
      </c>
      <c r="BN106" s="64">
        <f>IFERROR(Y106*I106/H106,"0")</f>
        <v>67.410000000000011</v>
      </c>
      <c r="BO106" s="64">
        <f>IFERROR(1/J106*(X106/H106),"0")</f>
        <v>7.9571759259259259E-2</v>
      </c>
      <c r="BP106" s="64">
        <f>IFERROR(1/J106*(Y106/H106),"0")</f>
        <v>9.3750000000000014E-2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10</v>
      </c>
      <c r="Y108" s="664">
        <f>IFERROR(IF(X108="",0,CEILING((X108/$H108),1)*$H108),"")</f>
        <v>13.5</v>
      </c>
      <c r="Z108" s="36">
        <f>IFERROR(IF(Y108=0,"",ROUNDUP(Y108/H108,0)*0.00902),"")</f>
        <v>2.7060000000000001E-2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10.466666666666667</v>
      </c>
      <c r="BN108" s="64">
        <f>IFERROR(Y108*I108/H108,"0")</f>
        <v>14.13</v>
      </c>
      <c r="BO108" s="64">
        <f>IFERROR(1/J108*(X108/H108),"0")</f>
        <v>1.6835016835016835E-2</v>
      </c>
      <c r="BP108" s="64">
        <f>IFERROR(1/J108*(Y108/H108),"0")</f>
        <v>2.2727272727272728E-2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7.3148148148148149</v>
      </c>
      <c r="Y110" s="665">
        <f>IFERROR(Y106/H106,"0")+IFERROR(Y107/H107,"0")+IFERROR(Y108/H108,"0")+IFERROR(Y109/H109,"0")</f>
        <v>9</v>
      </c>
      <c r="Z110" s="665">
        <f>IFERROR(IF(Z106="",0,Z106),"0")+IFERROR(IF(Z107="",0,Z107),"0")+IFERROR(IF(Z108="",0,Z108),"0")+IFERROR(IF(Z109="",0,Z109),"0")</f>
        <v>0.14094000000000001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65</v>
      </c>
      <c r="Y111" s="665">
        <f>IFERROR(SUM(Y106:Y109),"0")</f>
        <v>78.300000000000011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0</v>
      </c>
      <c r="Y113" s="664">
        <f>IFERROR(IF(X113="",0,CEILING((X113/$H113),1)*$H113),"")</f>
        <v>0</v>
      </c>
      <c r="Z113" s="36" t="str">
        <f>IFERROR(IF(Y113=0,"",ROUNDUP(Y113/H113,0)*0.01898),"")</f>
        <v/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6</v>
      </c>
      <c r="Y115" s="664">
        <f>IFERROR(IF(X115="",0,CEILING((X115/$H115),1)*$H115),"")</f>
        <v>7.1999999999999993</v>
      </c>
      <c r="Z115" s="36">
        <f>IFERROR(IF(Y115=0,"",ROUNDUP(Y115/H115,0)*0.00651),"")</f>
        <v>1.9529999999999999E-2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6.45</v>
      </c>
      <c r="BN115" s="64">
        <f>IFERROR(Y115*I115/H115,"0")</f>
        <v>7.7399999999999993</v>
      </c>
      <c r="BO115" s="64">
        <f>IFERROR(1/J115*(X115/H115),"0")</f>
        <v>1.3736263736263738E-2</v>
      </c>
      <c r="BP115" s="64">
        <f>IFERROR(1/J115*(Y115/H115),"0")</f>
        <v>1.6483516483516484E-2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2.5</v>
      </c>
      <c r="Y116" s="665">
        <f>IFERROR(Y113/H113,"0")+IFERROR(Y114/H114,"0")+IFERROR(Y115/H115,"0")</f>
        <v>3</v>
      </c>
      <c r="Z116" s="665">
        <f>IFERROR(IF(Z113="",0,Z113),"0")+IFERROR(IF(Z114="",0,Z114),"0")+IFERROR(IF(Z115="",0,Z115),"0")</f>
        <v>1.9529999999999999E-2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6</v>
      </c>
      <c r="Y117" s="665">
        <f>IFERROR(SUM(Y113:Y115),"0")</f>
        <v>7.1999999999999993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24</v>
      </c>
      <c r="Y120" s="664">
        <f t="shared" si="21"/>
        <v>25.200000000000003</v>
      </c>
      <c r="Z120" s="36">
        <f>IFERROR(IF(Y120=0,"",ROUNDUP(Y120/H120,0)*0.01898),"")</f>
        <v>5.6940000000000004E-2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25.465714285714284</v>
      </c>
      <c r="BN120" s="64">
        <f t="shared" si="23"/>
        <v>26.739000000000001</v>
      </c>
      <c r="BO120" s="64">
        <f t="shared" si="24"/>
        <v>4.4642857142857144E-2</v>
      </c>
      <c r="BP120" s="64">
        <f t="shared" si="25"/>
        <v>4.6875E-2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8</v>
      </c>
      <c r="Y125" s="664">
        <f t="shared" si="21"/>
        <v>8.1000000000000014</v>
      </c>
      <c r="Z125" s="36">
        <f t="shared" si="26"/>
        <v>1.9529999999999999E-2</v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8.7466666666666661</v>
      </c>
      <c r="BN125" s="64">
        <f t="shared" si="23"/>
        <v>8.8560000000000016</v>
      </c>
      <c r="BO125" s="64">
        <f t="shared" si="24"/>
        <v>1.6280016280016279E-2</v>
      </c>
      <c r="BP125" s="64">
        <f t="shared" si="25"/>
        <v>1.6483516483516487E-2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5.8201058201058196</v>
      </c>
      <c r="Y128" s="665">
        <f>IFERROR(Y119/H119,"0")+IFERROR(Y120/H120,"0")+IFERROR(Y121/H121,"0")+IFERROR(Y122/H122,"0")+IFERROR(Y123/H123,"0")+IFERROR(Y124/H124,"0")+IFERROR(Y125/H125,"0")+IFERROR(Y126/H126,"0")+IFERROR(Y127/H127,"0")</f>
        <v>6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7.647000000000001E-2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32</v>
      </c>
      <c r="Y129" s="665">
        <f>IFERROR(SUM(Y119:Y127),"0")</f>
        <v>33.300000000000004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0</v>
      </c>
      <c r="Y170" s="664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0</v>
      </c>
      <c r="Y171" s="665">
        <f>IFERROR(Y170/H170,"0")</f>
        <v>0</v>
      </c>
      <c r="Z171" s="665">
        <f>IFERROR(IF(Z170="",0,Z170),"0")</f>
        <v>0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0</v>
      </c>
      <c r="Y172" s="665">
        <f>IFERROR(SUM(Y170:Y170),"0")</f>
        <v>0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0</v>
      </c>
      <c r="Y174" s="664">
        <f t="shared" ref="Y174:Y182" si="27">IFERROR(IF(X174="",0,CEILING((X174/$H174),1)*$H174),"")</f>
        <v>0</v>
      </c>
      <c r="Z174" s="36" t="str">
        <f>IFERROR(IF(Y174=0,"",ROUNDUP(Y174/H174,0)*0.00902),"")</f>
        <v/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0</v>
      </c>
      <c r="BN174" s="64">
        <f t="shared" ref="BN174:BN182" si="29">IFERROR(Y174*I174/H174,"0")</f>
        <v>0</v>
      </c>
      <c r="BO174" s="64">
        <f t="shared" ref="BO174:BO182" si="30">IFERROR(1/J174*(X174/H174),"0")</f>
        <v>0</v>
      </c>
      <c r="BP174" s="64">
        <f t="shared" ref="BP174:BP182" si="31">IFERROR(1/J174*(Y174/H174),"0")</f>
        <v>0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0</v>
      </c>
      <c r="Y176" s="664">
        <f t="shared" si="27"/>
        <v>0</v>
      </c>
      <c r="Z176" s="36" t="str">
        <f>IFERROR(IF(Y176=0,"",ROUNDUP(Y176/H176,0)*0.00902),"")</f>
        <v/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0</v>
      </c>
      <c r="BN176" s="64">
        <f t="shared" si="29"/>
        <v>0</v>
      </c>
      <c r="BO176" s="64">
        <f t="shared" si="30"/>
        <v>0</v>
      </c>
      <c r="BP176" s="64">
        <f t="shared" si="31"/>
        <v>0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11</v>
      </c>
      <c r="Y177" s="664">
        <f t="shared" si="27"/>
        <v>12.600000000000001</v>
      </c>
      <c r="Z177" s="36">
        <f>IFERROR(IF(Y177=0,"",ROUNDUP(Y177/H177,0)*0.00502),"")</f>
        <v>3.0120000000000001E-2</v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11.68095238095238</v>
      </c>
      <c r="BN177" s="64">
        <f t="shared" si="29"/>
        <v>13.38</v>
      </c>
      <c r="BO177" s="64">
        <f t="shared" si="30"/>
        <v>2.2385022385022386E-2</v>
      </c>
      <c r="BP177" s="64">
        <f t="shared" si="31"/>
        <v>2.5641025641025644E-2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0</v>
      </c>
      <c r="Y179" s="664">
        <f t="shared" si="27"/>
        <v>0</v>
      </c>
      <c r="Z179" s="36" t="str">
        <f>IFERROR(IF(Y179=0,"",ROUNDUP(Y179/H179,0)*0.00502),"")</f>
        <v/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0</v>
      </c>
      <c r="BN179" s="64">
        <f t="shared" si="29"/>
        <v>0</v>
      </c>
      <c r="BO179" s="64">
        <f t="shared" si="30"/>
        <v>0</v>
      </c>
      <c r="BP179" s="64">
        <f t="shared" si="31"/>
        <v>0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5.2380952380952381</v>
      </c>
      <c r="Y183" s="665">
        <f>IFERROR(Y174/H174,"0")+IFERROR(Y175/H175,"0")+IFERROR(Y176/H176,"0")+IFERROR(Y177/H177,"0")+IFERROR(Y178/H178,"0")+IFERROR(Y179/H179,"0")+IFERROR(Y180/H180,"0")+IFERROR(Y181/H181,"0")+IFERROR(Y182/H182,"0")</f>
        <v>6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3.0120000000000001E-2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11</v>
      </c>
      <c r="Y184" s="665">
        <f>IFERROR(SUM(Y174:Y182),"0")</f>
        <v>12.600000000000001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24</v>
      </c>
      <c r="Y201" s="664">
        <f t="shared" ref="Y201:Y208" si="32">IFERROR(IF(X201="",0,CEILING((X201/$H201),1)*$H201),"")</f>
        <v>27</v>
      </c>
      <c r="Z201" s="36">
        <f>IFERROR(IF(Y201=0,"",ROUNDUP(Y201/H201,0)*0.00902),"")</f>
        <v>4.5100000000000001E-2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24.933333333333334</v>
      </c>
      <c r="BN201" s="64">
        <f t="shared" ref="BN201:BN208" si="34">IFERROR(Y201*I201/H201,"0")</f>
        <v>28.049999999999997</v>
      </c>
      <c r="BO201" s="64">
        <f t="shared" ref="BO201:BO208" si="35">IFERROR(1/J201*(X201/H201),"0")</f>
        <v>3.3670033670033662E-2</v>
      </c>
      <c r="BP201" s="64">
        <f t="shared" ref="BP201:BP208" si="36">IFERROR(1/J201*(Y201/H201),"0")</f>
        <v>3.787878787878788E-2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0</v>
      </c>
      <c r="Y202" s="664">
        <f t="shared" si="32"/>
        <v>0</v>
      </c>
      <c r="Z202" s="36" t="str">
        <f>IFERROR(IF(Y202=0,"",ROUNDUP(Y202/H202,0)*0.00902),"")</f>
        <v/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0</v>
      </c>
      <c r="BN202" s="64">
        <f t="shared" si="34"/>
        <v>0</v>
      </c>
      <c r="BO202" s="64">
        <f t="shared" si="35"/>
        <v>0</v>
      </c>
      <c r="BP202" s="64">
        <f t="shared" si="36"/>
        <v>0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0</v>
      </c>
      <c r="Y205" s="664">
        <f t="shared" si="32"/>
        <v>0</v>
      </c>
      <c r="Z205" s="36" t="str">
        <f>IFERROR(IF(Y205=0,"",ROUNDUP(Y205/H205,0)*0.00502),"")</f>
        <v/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0</v>
      </c>
      <c r="BN205" s="64">
        <f t="shared" si="34"/>
        <v>0</v>
      </c>
      <c r="BO205" s="64">
        <f t="shared" si="35"/>
        <v>0</v>
      </c>
      <c r="BP205" s="64">
        <f t="shared" si="36"/>
        <v>0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0</v>
      </c>
      <c r="Y206" s="664">
        <f t="shared" si="32"/>
        <v>0</v>
      </c>
      <c r="Z206" s="36" t="str">
        <f>IFERROR(IF(Y206=0,"",ROUNDUP(Y206/H206,0)*0.00502),"")</f>
        <v/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0</v>
      </c>
      <c r="BN206" s="64">
        <f t="shared" si="34"/>
        <v>0</v>
      </c>
      <c r="BO206" s="64">
        <f t="shared" si="35"/>
        <v>0</v>
      </c>
      <c r="BP206" s="64">
        <f t="shared" si="36"/>
        <v>0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14</v>
      </c>
      <c r="Y208" s="664">
        <f t="shared" si="32"/>
        <v>14.4</v>
      </c>
      <c r="Z208" s="36">
        <f>IFERROR(IF(Y208=0,"",ROUNDUP(Y208/H208,0)*0.00502),"")</f>
        <v>4.0160000000000001E-2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14.777777777777777</v>
      </c>
      <c r="BN208" s="64">
        <f t="shared" si="34"/>
        <v>15.2</v>
      </c>
      <c r="BO208" s="64">
        <f t="shared" si="35"/>
        <v>3.3238366571699908E-2</v>
      </c>
      <c r="BP208" s="64">
        <f t="shared" si="36"/>
        <v>3.4188034188034191E-2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12.222222222222221</v>
      </c>
      <c r="Y209" s="665">
        <f>IFERROR(Y201/H201,"0")+IFERROR(Y202/H202,"0")+IFERROR(Y203/H203,"0")+IFERROR(Y204/H204,"0")+IFERROR(Y205/H205,"0")+IFERROR(Y206/H206,"0")+IFERROR(Y207/H207,"0")+IFERROR(Y208/H208,"0")</f>
        <v>13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8.5260000000000002E-2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38</v>
      </c>
      <c r="Y210" s="665">
        <f>IFERROR(SUM(Y201:Y208),"0")</f>
        <v>41.4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52</v>
      </c>
      <c r="Y214" s="664">
        <f t="shared" si="37"/>
        <v>52.199999999999996</v>
      </c>
      <c r="Z214" s="36">
        <f>IFERROR(IF(Y214=0,"",ROUNDUP(Y214/H214,0)*0.01898),"")</f>
        <v>0.11388000000000001</v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55.10206896551724</v>
      </c>
      <c r="BN214" s="64">
        <f t="shared" si="39"/>
        <v>55.313999999999993</v>
      </c>
      <c r="BO214" s="64">
        <f t="shared" si="40"/>
        <v>9.339080459770116E-2</v>
      </c>
      <c r="BP214" s="64">
        <f t="shared" si="41"/>
        <v>9.375E-2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66</v>
      </c>
      <c r="Y215" s="664">
        <f t="shared" si="37"/>
        <v>67.2</v>
      </c>
      <c r="Z215" s="36">
        <f t="shared" ref="Z215:Z220" si="42">IFERROR(IF(Y215=0,"",ROUNDUP(Y215/H215,0)*0.00651),"")</f>
        <v>0.18228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73.424999999999997</v>
      </c>
      <c r="BN215" s="64">
        <f t="shared" si="39"/>
        <v>74.760000000000005</v>
      </c>
      <c r="BO215" s="64">
        <f t="shared" si="40"/>
        <v>0.15109890109890112</v>
      </c>
      <c r="BP215" s="64">
        <f t="shared" si="41"/>
        <v>0.15384615384615388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23</v>
      </c>
      <c r="Y217" s="664">
        <f t="shared" si="37"/>
        <v>24</v>
      </c>
      <c r="Z217" s="36">
        <f t="shared" si="42"/>
        <v>6.5100000000000005E-2</v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25.415000000000003</v>
      </c>
      <c r="BN217" s="64">
        <f t="shared" si="39"/>
        <v>26.520000000000003</v>
      </c>
      <c r="BO217" s="64">
        <f t="shared" si="40"/>
        <v>5.2655677655677663E-2</v>
      </c>
      <c r="BP217" s="64">
        <f t="shared" si="41"/>
        <v>5.4945054945054951E-2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27</v>
      </c>
      <c r="Y218" s="664">
        <f t="shared" si="37"/>
        <v>28.799999999999997</v>
      </c>
      <c r="Z218" s="36">
        <f t="shared" si="42"/>
        <v>7.8119999999999995E-2</v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29.835000000000001</v>
      </c>
      <c r="BN218" s="64">
        <f t="shared" si="39"/>
        <v>31.824000000000002</v>
      </c>
      <c r="BO218" s="64">
        <f t="shared" si="40"/>
        <v>6.1813186813186816E-2</v>
      </c>
      <c r="BP218" s="64">
        <f t="shared" si="41"/>
        <v>6.5934065934065936E-2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38</v>
      </c>
      <c r="Y220" s="664">
        <f t="shared" si="37"/>
        <v>38.4</v>
      </c>
      <c r="Z220" s="36">
        <f t="shared" si="42"/>
        <v>0.10416</v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42.085000000000001</v>
      </c>
      <c r="BN220" s="64">
        <f t="shared" si="39"/>
        <v>42.527999999999999</v>
      </c>
      <c r="BO220" s="64">
        <f t="shared" si="40"/>
        <v>8.6996336996337006E-2</v>
      </c>
      <c r="BP220" s="64">
        <f t="shared" si="41"/>
        <v>8.7912087912087919E-2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70.143678160919549</v>
      </c>
      <c r="Y221" s="665">
        <f>IFERROR(Y212/H212,"0")+IFERROR(Y213/H213,"0")+IFERROR(Y214/H214,"0")+IFERROR(Y215/H215,"0")+IFERROR(Y216/H216,"0")+IFERROR(Y217/H217,"0")+IFERROR(Y218/H218,"0")+IFERROR(Y219/H219,"0")+IFERROR(Y220/H220,"0")</f>
        <v>72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0.54354000000000002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206</v>
      </c>
      <c r="Y222" s="665">
        <f>IFERROR(SUM(Y212:Y220),"0")</f>
        <v>210.6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7</v>
      </c>
      <c r="Y224" s="664">
        <f>IFERROR(IF(X224="",0,CEILING((X224/$H224),1)*$H224),"")</f>
        <v>7.1999999999999993</v>
      </c>
      <c r="Z224" s="36">
        <f>IFERROR(IF(Y224=0,"",ROUNDUP(Y224/H224,0)*0.00651),"")</f>
        <v>1.9529999999999999E-2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7.7350000000000003</v>
      </c>
      <c r="BN224" s="64">
        <f>IFERROR(Y224*I224/H224,"0")</f>
        <v>7.9560000000000004</v>
      </c>
      <c r="BO224" s="64">
        <f>IFERROR(1/J224*(X224/H224),"0")</f>
        <v>1.6025641025641028E-2</v>
      </c>
      <c r="BP224" s="64">
        <f>IFERROR(1/J224*(Y224/H224),"0")</f>
        <v>1.6483516483516484E-2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0</v>
      </c>
      <c r="Y225" s="664">
        <f>IFERROR(IF(X225="",0,CEILING((X225/$H225),1)*$H225),"")</f>
        <v>0</v>
      </c>
      <c r="Z225" s="36" t="str">
        <f>IFERROR(IF(Y225=0,"",ROUNDUP(Y225/H225,0)*0.00651),"")</f>
        <v/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0</v>
      </c>
      <c r="BN225" s="64">
        <f>IFERROR(Y225*I225/H225,"0")</f>
        <v>0</v>
      </c>
      <c r="BO225" s="64">
        <f>IFERROR(1/J225*(X225/H225),"0")</f>
        <v>0</v>
      </c>
      <c r="BP225" s="64">
        <f>IFERROR(1/J225*(Y225/H225),"0")</f>
        <v>0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2.916666666666667</v>
      </c>
      <c r="Y226" s="665">
        <f>IFERROR(Y224/H224,"0")+IFERROR(Y225/H225,"0")</f>
        <v>3</v>
      </c>
      <c r="Z226" s="665">
        <f>IFERROR(IF(Z224="",0,Z224),"0")+IFERROR(IF(Z225="",0,Z225),"0")</f>
        <v>1.9529999999999999E-2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7</v>
      </c>
      <c r="Y227" s="665">
        <f>IFERROR(SUM(Y224:Y225),"0")</f>
        <v>7.1999999999999993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0</v>
      </c>
      <c r="Y230" s="664">
        <f t="shared" ref="Y230:Y237" si="43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0</v>
      </c>
      <c r="BN230" s="64">
        <f t="shared" ref="BN230:BN237" si="45">IFERROR(Y230*I230/H230,"0")</f>
        <v>0</v>
      </c>
      <c r="BO230" s="64">
        <f t="shared" ref="BO230:BO237" si="46">IFERROR(1/J230*(X230/H230),"0")</f>
        <v>0</v>
      </c>
      <c r="BP230" s="64">
        <f t="shared" ref="BP230:BP237" si="47">IFERROR(1/J230*(Y230/H230),"0")</f>
        <v>0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0</v>
      </c>
      <c r="Y235" s="664">
        <f t="shared" si="43"/>
        <v>0</v>
      </c>
      <c r="Z235" s="36" t="str">
        <f>IFERROR(IF(Y235=0,"",ROUNDUP(Y235/H235,0)*0.00902),"")</f>
        <v/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0</v>
      </c>
      <c r="BN235" s="64">
        <f t="shared" si="45"/>
        <v>0</v>
      </c>
      <c r="BO235" s="64">
        <f t="shared" si="46"/>
        <v>0</v>
      </c>
      <c r="BP235" s="64">
        <f t="shared" si="47"/>
        <v>0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0</v>
      </c>
      <c r="Y238" s="665">
        <f>IFERROR(Y230/H230,"0")+IFERROR(Y231/H231,"0")+IFERROR(Y232/H232,"0")+IFERROR(Y233/H233,"0")+IFERROR(Y234/H234,"0")+IFERROR(Y235/H235,"0")+IFERROR(Y236/H236,"0")+IFERROR(Y237/H237,"0")</f>
        <v>0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0</v>
      </c>
      <c r="Y239" s="665">
        <f>IFERROR(SUM(Y230:Y237),"0")</f>
        <v>0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2</v>
      </c>
      <c r="Y246" s="664">
        <f>IFERROR(IF(X246="",0,CEILING((X246/$H246),1)*$H246),"")</f>
        <v>2.16</v>
      </c>
      <c r="Z246" s="36">
        <f>IFERROR(IF(Y246=0,"",ROUNDUP(Y246/H246,0)*0.0059),"")</f>
        <v>5.8999999999999999E-3</v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2.175925925925926</v>
      </c>
      <c r="BN246" s="64">
        <f>IFERROR(Y246*I246/H246,"0")</f>
        <v>2.35</v>
      </c>
      <c r="BO246" s="64">
        <f>IFERROR(1/J246*(X246/H246),"0")</f>
        <v>4.2866941015089156E-3</v>
      </c>
      <c r="BP246" s="64">
        <f>IFERROR(1/J246*(Y246/H246),"0")</f>
        <v>4.6296296296296294E-3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0.92592592592592582</v>
      </c>
      <c r="Y247" s="665">
        <f>IFERROR(Y246/H246,"0")</f>
        <v>1</v>
      </c>
      <c r="Z247" s="665">
        <f>IFERROR(IF(Z246="",0,Z246),"0")</f>
        <v>5.8999999999999999E-3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2</v>
      </c>
      <c r="Y248" s="665">
        <f>IFERROR(SUM(Y246:Y246),"0")</f>
        <v>2.16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29</v>
      </c>
      <c r="Y279" s="664">
        <f>IFERROR(IF(X279="",0,CEILING((X279/$H279),1)*$H279),"")</f>
        <v>31.2</v>
      </c>
      <c r="Z279" s="36">
        <f>IFERROR(IF(Y279=0,"",ROUNDUP(Y279/H279,0)*0.00651),"")</f>
        <v>8.4629999999999997E-2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32.045000000000002</v>
      </c>
      <c r="BN279" s="64">
        <f>IFERROR(Y279*I279/H279,"0")</f>
        <v>34.476000000000006</v>
      </c>
      <c r="BO279" s="64">
        <f>IFERROR(1/J279*(X279/H279),"0")</f>
        <v>6.6391941391941406E-2</v>
      </c>
      <c r="BP279" s="64">
        <f>IFERROR(1/J279*(Y279/H279),"0")</f>
        <v>7.1428571428571438E-2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0</v>
      </c>
      <c r="Y280" s="66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12.083333333333334</v>
      </c>
      <c r="Y282" s="665">
        <f>IFERROR(Y277/H277,"0")+IFERROR(Y278/H278,"0")+IFERROR(Y279/H279,"0")+IFERROR(Y280/H280,"0")+IFERROR(Y281/H281,"0")</f>
        <v>13</v>
      </c>
      <c r="Z282" s="665">
        <f>IFERROR(IF(Z277="",0,Z277),"0")+IFERROR(IF(Z278="",0,Z278),"0")+IFERROR(IF(Z279="",0,Z279),"0")+IFERROR(IF(Z280="",0,Z280),"0")+IFERROR(IF(Z281="",0,Z281),"0")</f>
        <v>8.4629999999999997E-2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29</v>
      </c>
      <c r="Y283" s="665">
        <f>IFERROR(SUM(Y277:Y281),"0")</f>
        <v>31.2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0</v>
      </c>
      <c r="Y322" s="664">
        <f t="shared" si="53"/>
        <v>0</v>
      </c>
      <c r="Z322" s="36" t="str">
        <f>IFERROR(IF(Y322=0,"",ROUNDUP(Y322/H322,0)*0.01898),"")</f>
        <v/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0</v>
      </c>
      <c r="BN322" s="64">
        <f t="shared" si="55"/>
        <v>0</v>
      </c>
      <c r="BO322" s="64">
        <f t="shared" si="56"/>
        <v>0</v>
      </c>
      <c r="BP322" s="64">
        <f t="shared" si="57"/>
        <v>0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</v>
      </c>
      <c r="Y325" s="665">
        <f>IFERROR(Y319/H319,"0")+IFERROR(Y320/H320,"0")+IFERROR(Y321/H321,"0")+IFERROR(Y322/H322,"0")+IFERROR(Y323/H323,"0")+IFERROR(Y324/H324,"0")</f>
        <v>0</v>
      </c>
      <c r="Z325" s="665">
        <f>IFERROR(IF(Z319="",0,Z319),"0")+IFERROR(IF(Z320="",0,Z320),"0")+IFERROR(IF(Z321="",0,Z321),"0")+IFERROR(IF(Z322="",0,Z322),"0")+IFERROR(IF(Z323="",0,Z323),"0")+IFERROR(IF(Z324="",0,Z324),"0")</f>
        <v>0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0</v>
      </c>
      <c r="Y326" s="665">
        <f>IFERROR(SUM(Y319:Y324),"0")</f>
        <v>0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56</v>
      </c>
      <c r="Y344" s="664">
        <f>IFERROR(IF(X344="",0,CEILING((X344/$H344),1)*$H344),"")</f>
        <v>62.4</v>
      </c>
      <c r="Z344" s="36">
        <f>IFERROR(IF(Y344=0,"",ROUNDUP(Y344/H344,0)*0.01898),"")</f>
        <v>0.15184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59.726153846153849</v>
      </c>
      <c r="BN344" s="64">
        <f>IFERROR(Y344*I344/H344,"0")</f>
        <v>66.552000000000007</v>
      </c>
      <c r="BO344" s="64">
        <f>IFERROR(1/J344*(X344/H344),"0")</f>
        <v>0.11217948717948718</v>
      </c>
      <c r="BP344" s="64">
        <f>IFERROR(1/J344*(Y344/H344),"0")</f>
        <v>0.125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0</v>
      </c>
      <c r="Y345" s="664">
        <f>IFERROR(IF(X345="",0,CEILING((X345/$H345),1)*$H345),"")</f>
        <v>0</v>
      </c>
      <c r="Z345" s="36" t="str">
        <f>IFERROR(IF(Y345=0,"",ROUNDUP(Y345/H345,0)*0.01898),"")</f>
        <v/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7.1794871794871797</v>
      </c>
      <c r="Y346" s="665">
        <f>IFERROR(Y343/H343,"0")+IFERROR(Y344/H344,"0")+IFERROR(Y345/H345,"0")</f>
        <v>8</v>
      </c>
      <c r="Z346" s="665">
        <f>IFERROR(IF(Z343="",0,Z343),"0")+IFERROR(IF(Z344="",0,Z344),"0")+IFERROR(IF(Z345="",0,Z345),"0")</f>
        <v>0.15184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56</v>
      </c>
      <c r="Y347" s="665">
        <f>IFERROR(SUM(Y343:Y345),"0")</f>
        <v>62.4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2</v>
      </c>
      <c r="Y352" s="664">
        <f>IFERROR(IF(X352="",0,CEILING((X352/$H352),1)*$H352),"")</f>
        <v>2.5499999999999998</v>
      </c>
      <c r="Z352" s="36">
        <f>IFERROR(IF(Y352=0,"",ROUNDUP(Y352/H352,0)*0.00651),"")</f>
        <v>6.5100000000000002E-3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2.2588235294117647</v>
      </c>
      <c r="BN352" s="64">
        <f>IFERROR(Y352*I352/H352,"0")</f>
        <v>2.88</v>
      </c>
      <c r="BO352" s="64">
        <f>IFERROR(1/J352*(X352/H352),"0")</f>
        <v>4.3094160741219576E-3</v>
      </c>
      <c r="BP352" s="64">
        <f>IFERROR(1/J352*(Y352/H352),"0")</f>
        <v>5.4945054945054949E-3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0.78431372549019618</v>
      </c>
      <c r="Y353" s="665">
        <f>IFERROR(Y349/H349,"0")+IFERROR(Y350/H350,"0")+IFERROR(Y351/H351,"0")+IFERROR(Y352/H352,"0")</f>
        <v>1</v>
      </c>
      <c r="Z353" s="665">
        <f>IFERROR(IF(Z349="",0,Z349),"0")+IFERROR(IF(Z350="",0,Z350),"0")+IFERROR(IF(Z351="",0,Z351),"0")+IFERROR(IF(Z352="",0,Z352),"0")</f>
        <v>6.5100000000000002E-3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2</v>
      </c>
      <c r="Y354" s="665">
        <f>IFERROR(SUM(Y349:Y352),"0")</f>
        <v>2.5499999999999998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216</v>
      </c>
      <c r="Y375" s="664">
        <f t="shared" ref="Y375:Y384" si="58">IFERROR(IF(X375="",0,CEILING((X375/$H375),1)*$H375),"")</f>
        <v>225</v>
      </c>
      <c r="Z375" s="36">
        <f>IFERROR(IF(Y375=0,"",ROUNDUP(Y375/H375,0)*0.02175),"")</f>
        <v>0.32624999999999998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222.91200000000001</v>
      </c>
      <c r="BN375" s="64">
        <f t="shared" ref="BN375:BN384" si="60">IFERROR(Y375*I375/H375,"0")</f>
        <v>232.2</v>
      </c>
      <c r="BO375" s="64">
        <f t="shared" ref="BO375:BO384" si="61">IFERROR(1/J375*(X375/H375),"0")</f>
        <v>0.3</v>
      </c>
      <c r="BP375" s="64">
        <f t="shared" ref="BP375:BP384" si="62">IFERROR(1/J375*(Y375/H375),"0")</f>
        <v>0.3125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162</v>
      </c>
      <c r="Y377" s="664">
        <f t="shared" si="58"/>
        <v>165</v>
      </c>
      <c r="Z377" s="36">
        <f>IFERROR(IF(Y377=0,"",ROUNDUP(Y377/H377,0)*0.02175),"")</f>
        <v>0.23924999999999999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167.18400000000003</v>
      </c>
      <c r="BN377" s="64">
        <f t="shared" si="60"/>
        <v>170.28000000000003</v>
      </c>
      <c r="BO377" s="64">
        <f t="shared" si="61"/>
        <v>0.22500000000000001</v>
      </c>
      <c r="BP377" s="64">
        <f t="shared" si="62"/>
        <v>0.22916666666666666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314</v>
      </c>
      <c r="Y379" s="664">
        <f t="shared" si="58"/>
        <v>315</v>
      </c>
      <c r="Z379" s="36">
        <f>IFERROR(IF(Y379=0,"",ROUNDUP(Y379/H379,0)*0.02175),"")</f>
        <v>0.45674999999999999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324.048</v>
      </c>
      <c r="BN379" s="64">
        <f t="shared" si="60"/>
        <v>325.08</v>
      </c>
      <c r="BO379" s="64">
        <f t="shared" si="61"/>
        <v>0.43611111111111112</v>
      </c>
      <c r="BP379" s="64">
        <f t="shared" si="62"/>
        <v>0.4375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201</v>
      </c>
      <c r="Y380" s="664">
        <f t="shared" si="58"/>
        <v>210</v>
      </c>
      <c r="Z380" s="36">
        <f>IFERROR(IF(Y380=0,"",ROUNDUP(Y380/H380,0)*0.02175),"")</f>
        <v>0.30449999999999999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207.43199999999999</v>
      </c>
      <c r="BN380" s="64">
        <f t="shared" si="60"/>
        <v>216.72</v>
      </c>
      <c r="BO380" s="64">
        <f t="shared" si="61"/>
        <v>0.27916666666666667</v>
      </c>
      <c r="BP380" s="64">
        <f t="shared" si="62"/>
        <v>0.29166666666666663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59.533333333333339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61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1.3267500000000001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893</v>
      </c>
      <c r="Y386" s="665">
        <f>IFERROR(SUM(Y375:Y384),"0")</f>
        <v>915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204</v>
      </c>
      <c r="Y388" s="664">
        <f>IFERROR(IF(X388="",0,CEILING((X388/$H388),1)*$H388),"")</f>
        <v>210</v>
      </c>
      <c r="Z388" s="36">
        <f>IFERROR(IF(Y388=0,"",ROUNDUP(Y388/H388,0)*0.02175),"")</f>
        <v>0.30449999999999999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210.52799999999999</v>
      </c>
      <c r="BN388" s="64">
        <f>IFERROR(Y388*I388/H388,"0")</f>
        <v>216.72</v>
      </c>
      <c r="BO388" s="64">
        <f>IFERROR(1/J388*(X388/H388),"0")</f>
        <v>0.28333333333333333</v>
      </c>
      <c r="BP388" s="64">
        <f>IFERROR(1/J388*(Y388/H388),"0")</f>
        <v>0.29166666666666663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13.6</v>
      </c>
      <c r="Y390" s="665">
        <f>IFERROR(Y388/H388,"0")+IFERROR(Y389/H389,"0")</f>
        <v>14</v>
      </c>
      <c r="Z390" s="665">
        <f>IFERROR(IF(Z388="",0,Z388),"0")+IFERROR(IF(Z389="",0,Z389),"0")</f>
        <v>0.30449999999999999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204</v>
      </c>
      <c r="Y391" s="665">
        <f>IFERROR(SUM(Y388:Y389),"0")</f>
        <v>210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0</v>
      </c>
      <c r="Y394" s="664">
        <f>IFERROR(IF(X394="",0,CEILING((X394/$H394),1)*$H394),"")</f>
        <v>0</v>
      </c>
      <c r="Z394" s="36" t="str">
        <f>IFERROR(IF(Y394=0,"",ROUNDUP(Y394/H394,0)*0.01898),"")</f>
        <v/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0</v>
      </c>
      <c r="Y395" s="665">
        <f>IFERROR(Y393/H393,"0")+IFERROR(Y394/H394,"0")</f>
        <v>0</v>
      </c>
      <c r="Z395" s="665">
        <f>IFERROR(IF(Z393="",0,Z393),"0")+IFERROR(IF(Z394="",0,Z394),"0")</f>
        <v>0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0</v>
      </c>
      <c r="Y396" s="665">
        <f>IFERROR(SUM(Y393:Y394),"0")</f>
        <v>0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0</v>
      </c>
      <c r="Y398" s="664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0</v>
      </c>
      <c r="Y399" s="665">
        <f>IFERROR(Y398/H398,"0")</f>
        <v>0</v>
      </c>
      <c r="Z399" s="665">
        <f>IFERROR(IF(Z398="",0,Z398),"0")</f>
        <v>0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0</v>
      </c>
      <c r="Y400" s="665">
        <f>IFERROR(SUM(Y398:Y398),"0")</f>
        <v>0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0</v>
      </c>
      <c r="Y416" s="664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0</v>
      </c>
      <c r="Y421" s="665">
        <f>IFERROR(Y416/H416,"0")+IFERROR(Y417/H417,"0")+IFERROR(Y418/H418,"0")+IFERROR(Y419/H419,"0")+IFERROR(Y420/H420,"0")</f>
        <v>0</v>
      </c>
      <c r="Z421" s="665">
        <f>IFERROR(IF(Z416="",0,Z416),"0")+IFERROR(IF(Z417="",0,Z417),"0")+IFERROR(IF(Z418="",0,Z418),"0")+IFERROR(IF(Z419="",0,Z419),"0")+IFERROR(IF(Z420="",0,Z420),"0")</f>
        <v>0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0</v>
      </c>
      <c r="Y422" s="665">
        <f>IFERROR(SUM(Y416:Y420),"0")</f>
        <v>0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54</v>
      </c>
      <c r="Y430" s="664">
        <f t="shared" ref="Y430:Y441" si="63">IFERROR(IF(X430="",0,CEILING((X430/$H430),1)*$H430),"")</f>
        <v>54</v>
      </c>
      <c r="Z430" s="36">
        <f>IFERROR(IF(Y430=0,"",ROUNDUP(Y430/H430,0)*0.00902),"")</f>
        <v>9.0200000000000002E-2</v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56.099999999999994</v>
      </c>
      <c r="BN430" s="64">
        <f t="shared" ref="BN430:BN441" si="65">IFERROR(Y430*I430/H430,"0")</f>
        <v>56.099999999999994</v>
      </c>
      <c r="BO430" s="64">
        <f t="shared" ref="BO430:BO441" si="66">IFERROR(1/J430*(X430/H430),"0")</f>
        <v>7.575757575757576E-2</v>
      </c>
      <c r="BP430" s="64">
        <f t="shared" ref="BP430:BP441" si="67">IFERROR(1/J430*(Y430/H430),"0")</f>
        <v>7.575757575757576E-2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10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10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9.0200000000000002E-2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54</v>
      </c>
      <c r="Y443" s="665">
        <f>IFERROR(SUM(Y430:Y441),"0")</f>
        <v>54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6</v>
      </c>
      <c r="Y456" s="664">
        <f>IFERROR(IF(X456="",0,CEILING((X456/$H456),1)*$H456),"")</f>
        <v>10.8</v>
      </c>
      <c r="Z456" s="36">
        <f>IFERROR(IF(Y456=0,"",ROUNDUP(Y456/H456,0)*0.00902),"")</f>
        <v>1.804E-2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6.2333333333333334</v>
      </c>
      <c r="BN456" s="64">
        <f>IFERROR(Y456*I456/H456,"0")</f>
        <v>11.22</v>
      </c>
      <c r="BO456" s="64">
        <f>IFERROR(1/J456*(X456/H456),"0")</f>
        <v>8.4175084175084156E-3</v>
      </c>
      <c r="BP456" s="64">
        <f>IFERROR(1/J456*(Y456/H456),"0")</f>
        <v>1.5151515151515152E-2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1.1111111111111109</v>
      </c>
      <c r="Y460" s="665">
        <f>IFERROR(Y456/H456,"0")+IFERROR(Y457/H457,"0")+IFERROR(Y458/H458,"0")+IFERROR(Y459/H459,"0")</f>
        <v>2</v>
      </c>
      <c r="Z460" s="665">
        <f>IFERROR(IF(Z456="",0,Z456),"0")+IFERROR(IF(Z457="",0,Z457),"0")+IFERROR(IF(Z458="",0,Z458),"0")+IFERROR(IF(Z459="",0,Z459),"0")</f>
        <v>1.804E-2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6</v>
      </c>
      <c r="Y461" s="665">
        <f>IFERROR(SUM(Y456:Y459),"0")</f>
        <v>10.8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1</v>
      </c>
      <c r="Y465" s="664">
        <f>IFERROR(IF(X465="",0,CEILING((X465/$H465),1)*$H465),"")</f>
        <v>1.2</v>
      </c>
      <c r="Z465" s="36">
        <f>IFERROR(IF(Y465=0,"",ROUNDUP(Y465/H465,0)*0.00651),"")</f>
        <v>6.5100000000000002E-3</v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1.7500000000000002</v>
      </c>
      <c r="BN465" s="64">
        <f>IFERROR(Y465*I465/H465,"0")</f>
        <v>2.1</v>
      </c>
      <c r="BO465" s="64">
        <f>IFERROR(1/J465*(X465/H465),"0")</f>
        <v>4.578754578754579E-3</v>
      </c>
      <c r="BP465" s="64">
        <f>IFERROR(1/J465*(Y465/H465),"0")</f>
        <v>5.4945054945054949E-3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0.83333333333333337</v>
      </c>
      <c r="Y466" s="665">
        <f>IFERROR(Y464/H464,"0")+IFERROR(Y465/H465,"0")</f>
        <v>1</v>
      </c>
      <c r="Z466" s="665">
        <f>IFERROR(IF(Z464="",0,Z464),"0")+IFERROR(IF(Z465="",0,Z465),"0")</f>
        <v>6.5100000000000002E-3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1</v>
      </c>
      <c r="Y467" s="665">
        <f>IFERROR(SUM(Y464:Y465),"0")</f>
        <v>1.2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4</v>
      </c>
      <c r="Y480" s="664">
        <f t="shared" ref="Y480:Y494" si="69">IFERROR(IF(X480="",0,CEILING((X480/$H480),1)*$H480),"")</f>
        <v>5.28</v>
      </c>
      <c r="Z480" s="36">
        <f>IFERROR(IF(Y480=0,"",ROUNDUP(Y480/H480,0)*0.01196),"")</f>
        <v>1.196E-2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4.2727272727272725</v>
      </c>
      <c r="BN480" s="64">
        <f t="shared" ref="BN480:BN494" si="71">IFERROR(Y480*I480/H480,"0")</f>
        <v>5.64</v>
      </c>
      <c r="BO480" s="64">
        <f t="shared" ref="BO480:BO494" si="72">IFERROR(1/J480*(X480/H480),"0")</f>
        <v>7.2843822843822849E-3</v>
      </c>
      <c r="BP480" s="64">
        <f t="shared" ref="BP480:BP494" si="73">IFERROR(1/J480*(Y480/H480),"0")</f>
        <v>9.6153846153846159E-3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7</v>
      </c>
      <c r="Y481" s="664">
        <f t="shared" si="69"/>
        <v>10.56</v>
      </c>
      <c r="Z481" s="36">
        <f>IFERROR(IF(Y481=0,"",ROUNDUP(Y481/H481,0)*0.01196),"")</f>
        <v>2.392E-2</v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7.4772727272727266</v>
      </c>
      <c r="BN481" s="64">
        <f t="shared" si="71"/>
        <v>11.28</v>
      </c>
      <c r="BO481" s="64">
        <f t="shared" si="72"/>
        <v>1.2747668997668998E-2</v>
      </c>
      <c r="BP481" s="64">
        <f t="shared" si="73"/>
        <v>1.9230769230769232E-2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83</v>
      </c>
      <c r="Y482" s="664">
        <f t="shared" si="69"/>
        <v>84.48</v>
      </c>
      <c r="Z482" s="36">
        <f>IFERROR(IF(Y482=0,"",ROUNDUP(Y482/H482,0)*0.01196),"")</f>
        <v>0.19136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88.659090909090892</v>
      </c>
      <c r="BN482" s="64">
        <f t="shared" si="71"/>
        <v>90.24</v>
      </c>
      <c r="BO482" s="64">
        <f t="shared" si="72"/>
        <v>0.15115093240093241</v>
      </c>
      <c r="BP482" s="64">
        <f t="shared" si="73"/>
        <v>0.15384615384615385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22</v>
      </c>
      <c r="Y483" s="664">
        <f t="shared" si="69"/>
        <v>26.400000000000002</v>
      </c>
      <c r="Z483" s="36">
        <f>IFERROR(IF(Y483=0,"",ROUNDUP(Y483/H483,0)*0.01196),"")</f>
        <v>5.9799999999999999E-2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23.5</v>
      </c>
      <c r="BN483" s="64">
        <f t="shared" si="71"/>
        <v>28.200000000000003</v>
      </c>
      <c r="BO483" s="64">
        <f t="shared" si="72"/>
        <v>4.0064102564102561E-2</v>
      </c>
      <c r="BP483" s="64">
        <f t="shared" si="73"/>
        <v>4.807692307692308E-2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21.969696969696969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24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0.28704000000000002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116</v>
      </c>
      <c r="Y496" s="665">
        <f>IFERROR(SUM(Y480:Y494),"0")</f>
        <v>126.72000000000001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18</v>
      </c>
      <c r="Y498" s="664">
        <f>IFERROR(IF(X498="",0,CEILING((X498/$H498),1)*$H498),"")</f>
        <v>21.12</v>
      </c>
      <c r="Z498" s="36">
        <f>IFERROR(IF(Y498=0,"",ROUNDUP(Y498/H498,0)*0.01196),"")</f>
        <v>4.7840000000000001E-2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19.227272727272727</v>
      </c>
      <c r="BN498" s="64">
        <f>IFERROR(Y498*I498/H498,"0")</f>
        <v>22.56</v>
      </c>
      <c r="BO498" s="64">
        <f>IFERROR(1/J498*(X498/H498),"0")</f>
        <v>3.277972027972028E-2</v>
      </c>
      <c r="BP498" s="64">
        <f>IFERROR(1/J498*(Y498/H498),"0")</f>
        <v>3.8461538461538464E-2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3.4090909090909087</v>
      </c>
      <c r="Y502" s="665">
        <f>IFERROR(Y498/H498,"0")+IFERROR(Y499/H499,"0")+IFERROR(Y500/H500,"0")+IFERROR(Y501/H501,"0")</f>
        <v>4</v>
      </c>
      <c r="Z502" s="665">
        <f>IFERROR(IF(Z498="",0,Z498),"0")+IFERROR(IF(Z499="",0,Z499),"0")+IFERROR(IF(Z500="",0,Z500),"0")+IFERROR(IF(Z501="",0,Z501),"0")</f>
        <v>4.7840000000000001E-2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18</v>
      </c>
      <c r="Y503" s="665">
        <f>IFERROR(SUM(Y498:Y501),"0")</f>
        <v>21.12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41</v>
      </c>
      <c r="Y505" s="664">
        <f t="shared" ref="Y505:Y516" si="74">IFERROR(IF(X505="",0,CEILING((X505/$H505),1)*$H505),"")</f>
        <v>42.24</v>
      </c>
      <c r="Z505" s="36">
        <f>IFERROR(IF(Y505=0,"",ROUNDUP(Y505/H505,0)*0.01196),"")</f>
        <v>9.5680000000000001E-2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43.79545454545454</v>
      </c>
      <c r="BN505" s="64">
        <f t="shared" ref="BN505:BN516" si="76">IFERROR(Y505*I505/H505,"0")</f>
        <v>45.12</v>
      </c>
      <c r="BO505" s="64">
        <f t="shared" ref="BO505:BO516" si="77">IFERROR(1/J505*(X505/H505),"0")</f>
        <v>7.4664918414918416E-2</v>
      </c>
      <c r="BP505" s="64">
        <f t="shared" ref="BP505:BP516" si="78">IFERROR(1/J505*(Y505/H505),"0")</f>
        <v>7.6923076923076927E-2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41</v>
      </c>
      <c r="Y506" s="664">
        <f t="shared" si="74"/>
        <v>42.24</v>
      </c>
      <c r="Z506" s="36">
        <f>IFERROR(IF(Y506=0,"",ROUNDUP(Y506/H506,0)*0.01196),"")</f>
        <v>9.5680000000000001E-2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43.79545454545454</v>
      </c>
      <c r="BN506" s="64">
        <f t="shared" si="76"/>
        <v>45.12</v>
      </c>
      <c r="BO506" s="64">
        <f t="shared" si="77"/>
        <v>7.4664918414918416E-2</v>
      </c>
      <c r="BP506" s="64">
        <f t="shared" si="78"/>
        <v>7.6923076923076927E-2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19</v>
      </c>
      <c r="Y507" s="664">
        <f t="shared" si="74"/>
        <v>21.12</v>
      </c>
      <c r="Z507" s="36">
        <f>IFERROR(IF(Y507=0,"",ROUNDUP(Y507/H507,0)*0.01196),"")</f>
        <v>4.7840000000000001E-2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20.295454545454543</v>
      </c>
      <c r="BN507" s="64">
        <f t="shared" si="76"/>
        <v>22.56</v>
      </c>
      <c r="BO507" s="64">
        <f t="shared" si="77"/>
        <v>3.4600815850815848E-2</v>
      </c>
      <c r="BP507" s="64">
        <f t="shared" si="78"/>
        <v>3.8461538461538464E-2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19.128787878787879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20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0.2392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101</v>
      </c>
      <c r="Y518" s="665">
        <f>IFERROR(SUM(Y505:Y516),"0")</f>
        <v>105.60000000000001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13</v>
      </c>
      <c r="Y560" s="664">
        <f>IFERROR(IF(X560="",0,CEILING((X560/$H560),1)*$H560),"")</f>
        <v>18</v>
      </c>
      <c r="Z560" s="36">
        <f>IFERROR(IF(Y560=0,"",ROUNDUP(Y560/H560,0)*0.01898),"")</f>
        <v>3.7960000000000001E-2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13.749666666666666</v>
      </c>
      <c r="BN560" s="64">
        <f>IFERROR(Y560*I560/H560,"0")</f>
        <v>19.038</v>
      </c>
      <c r="BO560" s="64">
        <f>IFERROR(1/J560*(X560/H560),"0")</f>
        <v>2.2569444444444444E-2</v>
      </c>
      <c r="BP560" s="64">
        <f>IFERROR(1/J560*(Y560/H560),"0")</f>
        <v>3.125E-2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1.4444444444444444</v>
      </c>
      <c r="Y565" s="665">
        <f>IFERROR(Y560/H560,"0")+IFERROR(Y561/H561,"0")+IFERROR(Y562/H562,"0")+IFERROR(Y563/H563,"0")+IFERROR(Y564/H564,"0")</f>
        <v>2</v>
      </c>
      <c r="Z565" s="665">
        <f>IFERROR(IF(Z560="",0,Z560),"0")+IFERROR(IF(Z561="",0,Z561),"0")+IFERROR(IF(Z562="",0,Z562),"0")+IFERROR(IF(Z563="",0,Z563),"0")+IFERROR(IF(Z564="",0,Z564),"0")</f>
        <v>3.7960000000000001E-2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13</v>
      </c>
      <c r="Y566" s="665">
        <f>IFERROR(SUM(Y560:Y564),"0")</f>
        <v>18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1954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2064.4499999999998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2049.6563503333869</v>
      </c>
      <c r="Y592" s="665">
        <f>IFERROR(SUM(BN22:BN588),"0")</f>
        <v>2166.0839999999998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4</v>
      </c>
      <c r="Y593" s="38">
        <f>ROUNDUP(SUM(BP22:BP588),0)</f>
        <v>4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2149.6563503333869</v>
      </c>
      <c r="Y594" s="665">
        <f>GrossWeightTotalR+PalletQtyTotalR*25</f>
        <v>2266.0839999999998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272.73516064357852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290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3.7527399999999997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0</v>
      </c>
      <c r="C601" s="46">
        <f>IFERROR(Y37*1,"0")+IFERROR(Y38*1,"0")+IFERROR(Y39*1,"0")+IFERROR(Y40*1,"0")+IFERROR(Y44*1,"0")</f>
        <v>0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12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101.1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118.80000000000001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12.600000000000001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259.20000000000005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2.16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31.2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64.95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1125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0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54</v>
      </c>
      <c r="Z601" s="46">
        <f>IFERROR(Y451*1,"0")+IFERROR(Y452*1,"0")+IFERROR(Y456*1,"0")+IFERROR(Y457*1,"0")+IFERROR(Y458*1,"0")+IFERROR(Y459*1,"0")</f>
        <v>10.8</v>
      </c>
      <c r="AA601" s="46">
        <f>IFERROR(Y464*1,"0")+IFERROR(Y465*1,"0")</f>
        <v>1.2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253.44000000000003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18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2025-04-11T09:09:31Z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