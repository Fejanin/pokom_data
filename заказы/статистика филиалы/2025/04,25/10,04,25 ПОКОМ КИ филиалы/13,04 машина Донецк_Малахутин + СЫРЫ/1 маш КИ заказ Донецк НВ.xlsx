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1 машина Донецк_Малахутин\"/>
    </mc:Choice>
  </mc:AlternateContent>
  <xr:revisionPtr revIDLastSave="0" documentId="13_ncr:1_{244AD5EB-D8DB-4EF0-AC4D-3B5FB9883EC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2" i="1" s="1"/>
  <c r="Z22" i="1"/>
  <c r="Y22" i="1"/>
  <c r="P22" i="1"/>
  <c r="H10" i="1"/>
  <c r="F10" i="1"/>
  <c r="J9" i="1"/>
  <c r="F9" i="1"/>
  <c r="A9" i="1"/>
  <c r="A10" i="1" s="1"/>
  <c r="D7" i="1"/>
  <c r="Q6" i="1"/>
  <c r="P2" i="1"/>
  <c r="Y29" i="1" l="1"/>
  <c r="Y62" i="1"/>
  <c r="Y140" i="1"/>
  <c r="Y144" i="1"/>
  <c r="BP148" i="1"/>
  <c r="BN148" i="1"/>
  <c r="Z148" i="1"/>
  <c r="Z149" i="1" s="1"/>
  <c r="H601" i="1"/>
  <c r="Y154" i="1"/>
  <c r="BP153" i="1"/>
  <c r="BN153" i="1"/>
  <c r="Z153" i="1"/>
  <c r="Z154" i="1" s="1"/>
  <c r="Y162" i="1"/>
  <c r="BP157" i="1"/>
  <c r="BN157" i="1"/>
  <c r="Z157" i="1"/>
  <c r="BP175" i="1"/>
  <c r="BN175" i="1"/>
  <c r="Z175" i="1"/>
  <c r="Z183" i="1" s="1"/>
  <c r="BP214" i="1"/>
  <c r="BN214" i="1"/>
  <c r="Z214" i="1"/>
  <c r="BP231" i="1"/>
  <c r="BN231" i="1"/>
  <c r="Z231" i="1"/>
  <c r="Z238" i="1" s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Y33" i="1"/>
  <c r="Y41" i="1"/>
  <c r="Y56" i="1"/>
  <c r="Y68" i="1"/>
  <c r="Y78" i="1"/>
  <c r="Y84" i="1"/>
  <c r="Y91" i="1"/>
  <c r="Y103" i="1"/>
  <c r="Y110" i="1"/>
  <c r="Y116" i="1"/>
  <c r="Y129" i="1"/>
  <c r="Y133" i="1"/>
  <c r="Y150" i="1"/>
  <c r="Y155" i="1"/>
  <c r="Y161" i="1"/>
  <c r="BP180" i="1"/>
  <c r="BN180" i="1"/>
  <c r="Z180" i="1"/>
  <c r="BP202" i="1"/>
  <c r="BN202" i="1"/>
  <c r="Z202" i="1"/>
  <c r="Z209" i="1" s="1"/>
  <c r="BP206" i="1"/>
  <c r="BN206" i="1"/>
  <c r="Z206" i="1"/>
  <c r="BP218" i="1"/>
  <c r="BN218" i="1"/>
  <c r="Z218" i="1"/>
  <c r="H9" i="1"/>
  <c r="B601" i="1"/>
  <c r="X593" i="1"/>
  <c r="X594" i="1" s="1"/>
  <c r="Z23" i="1"/>
  <c r="Z28" i="1" s="1"/>
  <c r="BN23" i="1"/>
  <c r="Y592" i="1" s="1"/>
  <c r="Y594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593" i="1" s="1"/>
  <c r="Z37" i="1"/>
  <c r="Z41" i="1" s="1"/>
  <c r="BN37" i="1"/>
  <c r="BP37" i="1"/>
  <c r="Z39" i="1"/>
  <c r="BN39" i="1"/>
  <c r="Y42" i="1"/>
  <c r="D601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65" i="1" l="1"/>
  <c r="Z385" i="1"/>
  <c r="Z221" i="1"/>
  <c r="Z408" i="1"/>
  <c r="Z370" i="1"/>
  <c r="Z161" i="1"/>
  <c r="Z547" i="1"/>
  <c r="Z517" i="1"/>
  <c r="Z442" i="1"/>
  <c r="Z332" i="1"/>
  <c r="Z83" i="1"/>
  <c r="Z596" i="1" s="1"/>
  <c r="Y595" i="1"/>
  <c r="Y591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<sst xmlns="http://schemas.openxmlformats.org/spreadsheetml/2006/main" count="2720" uniqueCount="975">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</sst>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1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979" t="s">
        <v>0</v>
      </c>
      <c r="E1" s="695"/>
      <c r="F1" s="695"/>
      <c r="G1" s="12" t="s">
        <v>1</v>
      </c>
      <c r="H1" s="979" t="s">
        <v>2</v>
      </c>
      <c r="I1" s="695"/>
      <c r="J1" s="695"/>
      <c r="K1" s="695"/>
      <c r="L1" s="695"/>
      <c r="M1" s="695"/>
      <c r="N1" s="695"/>
      <c r="O1" s="695"/>
      <c r="P1" s="695"/>
      <c r="Q1" s="695"/>
      <c r="R1" s="1024" t="s">
        <v>3</v>
      </c>
      <c r="S1" s="695"/>
      <c r="T1" s="6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1"/>
      <c r="R2" s="671"/>
      <c r="S2" s="671"/>
      <c r="T2" s="671"/>
      <c r="U2" s="671"/>
      <c r="V2" s="671"/>
      <c r="W2" s="671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1"/>
      <c r="Q3" s="671"/>
      <c r="R3" s="671"/>
      <c r="S3" s="671"/>
      <c r="T3" s="671"/>
      <c r="U3" s="671"/>
      <c r="V3" s="671"/>
      <c r="W3" s="671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927" t="s">
        <v>8</v>
      </c>
      <c r="B5" s="674"/>
      <c r="C5" s="675"/>
      <c r="D5" s="796"/>
      <c r="E5" s="798"/>
      <c r="F5" s="742" t="s">
        <v>9</v>
      </c>
      <c r="G5" s="675"/>
      <c r="H5" s="796"/>
      <c r="I5" s="797"/>
      <c r="J5" s="797"/>
      <c r="K5" s="797"/>
      <c r="L5" s="797"/>
      <c r="M5" s="798"/>
      <c r="N5" s="58"/>
      <c r="P5" s="24" t="s">
        <v>10</v>
      </c>
      <c r="Q5" s="714">
        <v>45759</v>
      </c>
      <c r="R5" s="715"/>
      <c r="T5" s="889" t="s">
        <v>11</v>
      </c>
      <c r="U5" s="883"/>
      <c r="V5" s="891" t="s">
        <v>12</v>
      </c>
      <c r="W5" s="715"/>
      <c r="AB5" s="51"/>
      <c r="AC5" s="51"/>
      <c r="AD5" s="51"/>
      <c r="AE5" s="51"/>
    </row>
    <row r="6" spans="1:32" s="657" customFormat="1" ht="24" customHeight="1" x14ac:dyDescent="0.2">
      <c r="A6" s="927" t="s">
        <v>13</v>
      </c>
      <c r="B6" s="674"/>
      <c r="C6" s="675"/>
      <c r="D6" s="801" t="s">
        <v>14</v>
      </c>
      <c r="E6" s="802"/>
      <c r="F6" s="802"/>
      <c r="G6" s="802"/>
      <c r="H6" s="802"/>
      <c r="I6" s="802"/>
      <c r="J6" s="802"/>
      <c r="K6" s="802"/>
      <c r="L6" s="802"/>
      <c r="M6" s="715"/>
      <c r="N6" s="59"/>
      <c r="P6" s="24" t="s">
        <v>15</v>
      </c>
      <c r="Q6" s="824" t="str">
        <f>IF(Q5=0," ",CHOOSE(WEEKDAY(Q5,2),"Понедельник","Вторник","Среда","Четверг","Пятница","Суббота","Воскресенье"))</f>
        <v>Суббота</v>
      </c>
      <c r="R6" s="677"/>
      <c r="T6" s="896" t="s">
        <v>16</v>
      </c>
      <c r="U6" s="883"/>
      <c r="V6" s="808" t="s">
        <v>17</v>
      </c>
      <c r="W6" s="809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998" t="str">
        <f>IFERROR(VLOOKUP(DeliveryAddress,Table,3,0),1)</f>
        <v>4</v>
      </c>
      <c r="E7" s="999"/>
      <c r="F7" s="999"/>
      <c r="G7" s="999"/>
      <c r="H7" s="999"/>
      <c r="I7" s="999"/>
      <c r="J7" s="999"/>
      <c r="K7" s="999"/>
      <c r="L7" s="999"/>
      <c r="M7" s="894"/>
      <c r="N7" s="60"/>
      <c r="P7" s="24"/>
      <c r="Q7" s="42"/>
      <c r="R7" s="42"/>
      <c r="T7" s="671"/>
      <c r="U7" s="883"/>
      <c r="V7" s="810"/>
      <c r="W7" s="811"/>
      <c r="AB7" s="51"/>
      <c r="AC7" s="51"/>
      <c r="AD7" s="51"/>
      <c r="AE7" s="51"/>
    </row>
    <row r="8" spans="1:32" s="657" customFormat="1" ht="25.5" customHeight="1" x14ac:dyDescent="0.2">
      <c r="A8" s="667" t="s">
        <v>18</v>
      </c>
      <c r="B8" s="668"/>
      <c r="C8" s="669"/>
      <c r="D8" s="1010"/>
      <c r="E8" s="1011"/>
      <c r="F8" s="1011"/>
      <c r="G8" s="1011"/>
      <c r="H8" s="1011"/>
      <c r="I8" s="1011"/>
      <c r="J8" s="1011"/>
      <c r="K8" s="1011"/>
      <c r="L8" s="1011"/>
      <c r="M8" s="1012"/>
      <c r="N8" s="61"/>
      <c r="P8" s="24" t="s">
        <v>19</v>
      </c>
      <c r="Q8" s="893">
        <v>0.41666666666666669</v>
      </c>
      <c r="R8" s="894"/>
      <c r="T8" s="671"/>
      <c r="U8" s="883"/>
      <c r="V8" s="810"/>
      <c r="W8" s="811"/>
      <c r="AB8" s="51"/>
      <c r="AC8" s="51"/>
      <c r="AD8" s="51"/>
      <c r="AE8" s="51"/>
    </row>
    <row r="9" spans="1:32" s="65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755"/>
      <c r="E9" s="756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847" t="str">
        <f>IF(AND($A$9="Тип доверенности/получателя при получении в адресе перегруза:",$D$9="Разовая доверенность"),"Введите ФИО","")</f>
        <v/>
      </c>
      <c r="I9" s="756"/>
      <c r="J9" s="8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6"/>
      <c r="L9" s="756"/>
      <c r="M9" s="756"/>
      <c r="N9" s="655"/>
      <c r="P9" s="26" t="s">
        <v>20</v>
      </c>
      <c r="Q9" s="950"/>
      <c r="R9" s="724"/>
      <c r="T9" s="671"/>
      <c r="U9" s="883"/>
      <c r="V9" s="812"/>
      <c r="W9" s="813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755"/>
      <c r="E10" s="756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830" t="str">
        <f>IFERROR(VLOOKUP($D$10,Proxy,2,FALSE),"")</f>
        <v/>
      </c>
      <c r="I10" s="671"/>
      <c r="J10" s="671"/>
      <c r="K10" s="671"/>
      <c r="L10" s="671"/>
      <c r="M10" s="671"/>
      <c r="N10" s="656"/>
      <c r="P10" s="26" t="s">
        <v>21</v>
      </c>
      <c r="Q10" s="897"/>
      <c r="R10" s="898"/>
      <c r="U10" s="24" t="s">
        <v>22</v>
      </c>
      <c r="V10" s="1046" t="s">
        <v>23</v>
      </c>
      <c r="W10" s="809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53"/>
      <c r="R11" s="715"/>
      <c r="U11" s="24" t="s">
        <v>26</v>
      </c>
      <c r="V11" s="723" t="s">
        <v>27</v>
      </c>
      <c r="W11" s="724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62" t="s">
        <v>28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29</v>
      </c>
      <c r="Q12" s="893"/>
      <c r="R12" s="894"/>
      <c r="S12" s="23"/>
      <c r="U12" s="24"/>
      <c r="V12" s="695"/>
      <c r="W12" s="671"/>
      <c r="AB12" s="51"/>
      <c r="AC12" s="51"/>
      <c r="AD12" s="51"/>
      <c r="AE12" s="51"/>
    </row>
    <row r="13" spans="1:32" s="657" customFormat="1" ht="23.25" customHeight="1" x14ac:dyDescent="0.2">
      <c r="A13" s="862" t="s">
        <v>30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31</v>
      </c>
      <c r="Q13" s="723"/>
      <c r="R13" s="7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62" t="s">
        <v>32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64" t="s">
        <v>33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956" t="s">
        <v>34</v>
      </c>
      <c r="Q15" s="695"/>
      <c r="R15" s="695"/>
      <c r="S15" s="695"/>
      <c r="T15" s="6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57"/>
      <c r="Q16" s="957"/>
      <c r="R16" s="957"/>
      <c r="S16" s="957"/>
      <c r="T16" s="9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1" t="s">
        <v>35</v>
      </c>
      <c r="B17" s="691" t="s">
        <v>36</v>
      </c>
      <c r="C17" s="931" t="s">
        <v>37</v>
      </c>
      <c r="D17" s="691" t="s">
        <v>38</v>
      </c>
      <c r="E17" s="692"/>
      <c r="F17" s="691" t="s">
        <v>39</v>
      </c>
      <c r="G17" s="691" t="s">
        <v>40</v>
      </c>
      <c r="H17" s="691" t="s">
        <v>41</v>
      </c>
      <c r="I17" s="691" t="s">
        <v>42</v>
      </c>
      <c r="J17" s="691" t="s">
        <v>43</v>
      </c>
      <c r="K17" s="691" t="s">
        <v>44</v>
      </c>
      <c r="L17" s="691" t="s">
        <v>45</v>
      </c>
      <c r="M17" s="691" t="s">
        <v>46</v>
      </c>
      <c r="N17" s="691" t="s">
        <v>47</v>
      </c>
      <c r="O17" s="691" t="s">
        <v>48</v>
      </c>
      <c r="P17" s="691" t="s">
        <v>49</v>
      </c>
      <c r="Q17" s="959"/>
      <c r="R17" s="959"/>
      <c r="S17" s="959"/>
      <c r="T17" s="692"/>
      <c r="U17" s="704" t="s">
        <v>50</v>
      </c>
      <c r="V17" s="675"/>
      <c r="W17" s="691" t="s">
        <v>51</v>
      </c>
      <c r="X17" s="691" t="s">
        <v>52</v>
      </c>
      <c r="Y17" s="705" t="s">
        <v>53</v>
      </c>
      <c r="Z17" s="837" t="s">
        <v>54</v>
      </c>
      <c r="AA17" s="736" t="s">
        <v>55</v>
      </c>
      <c r="AB17" s="736" t="s">
        <v>56</v>
      </c>
      <c r="AC17" s="736" t="s">
        <v>57</v>
      </c>
      <c r="AD17" s="736" t="s">
        <v>58</v>
      </c>
      <c r="AE17" s="737"/>
      <c r="AF17" s="73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693"/>
      <c r="E18" s="694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693"/>
      <c r="Q18" s="960"/>
      <c r="R18" s="960"/>
      <c r="S18" s="960"/>
      <c r="T18" s="694"/>
      <c r="U18" s="67" t="s">
        <v>60</v>
      </c>
      <c r="V18" s="67" t="s">
        <v>61</v>
      </c>
      <c r="W18" s="713"/>
      <c r="X18" s="713"/>
      <c r="Y18" s="706"/>
      <c r="Z18" s="838"/>
      <c r="AA18" s="795"/>
      <c r="AB18" s="795"/>
      <c r="AC18" s="795"/>
      <c r="AD18" s="739"/>
      <c r="AE18" s="740"/>
      <c r="AF18" s="741"/>
      <c r="AG18" s="66"/>
      <c r="BD18" s="65"/>
    </row>
    <row r="19" spans="1:68" ht="27.75" customHeight="1" x14ac:dyDescent="0.2">
      <c r="A19" s="790" t="s">
        <v>62</v>
      </c>
      <c r="B19" s="791"/>
      <c r="C19" s="791"/>
      <c r="D19" s="791"/>
      <c r="E19" s="791"/>
      <c r="F19" s="791"/>
      <c r="G19" s="791"/>
      <c r="H19" s="791"/>
      <c r="I19" s="791"/>
      <c r="J19" s="791"/>
      <c r="K19" s="791"/>
      <c r="L19" s="791"/>
      <c r="M19" s="791"/>
      <c r="N19" s="791"/>
      <c r="O19" s="791"/>
      <c r="P19" s="791"/>
      <c r="Q19" s="791"/>
      <c r="R19" s="791"/>
      <c r="S19" s="791"/>
      <c r="T19" s="791"/>
      <c r="U19" s="791"/>
      <c r="V19" s="791"/>
      <c r="W19" s="791"/>
      <c r="X19" s="791"/>
      <c r="Y19" s="791"/>
      <c r="Z19" s="791"/>
      <c r="AA19" s="48"/>
      <c r="AB19" s="48"/>
      <c r="AC19" s="48"/>
    </row>
    <row r="20" spans="1:68" ht="16.5" customHeight="1" x14ac:dyDescent="0.25">
      <c r="A20" s="686" t="s">
        <v>62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8"/>
      <c r="AB20" s="658"/>
      <c r="AC20" s="658"/>
    </row>
    <row r="21" spans="1:68" ht="14.25" customHeight="1" x14ac:dyDescent="0.25">
      <c r="A21" s="680" t="s">
        <v>63</v>
      </c>
      <c r="B21" s="671"/>
      <c r="C21" s="671"/>
      <c r="D21" s="671"/>
      <c r="E21" s="671"/>
      <c r="F21" s="671"/>
      <c r="G21" s="671"/>
      <c r="H21" s="671"/>
      <c r="I21" s="671"/>
      <c r="J21" s="671"/>
      <c r="K21" s="671"/>
      <c r="L21" s="671"/>
      <c r="M21" s="671"/>
      <c r="N21" s="671"/>
      <c r="O21" s="671"/>
      <c r="P21" s="671"/>
      <c r="Q21" s="671"/>
      <c r="R21" s="671"/>
      <c r="S21" s="671"/>
      <c r="T21" s="671"/>
      <c r="U21" s="671"/>
      <c r="V21" s="671"/>
      <c r="W21" s="671"/>
      <c r="X21" s="671"/>
      <c r="Y21" s="671"/>
      <c r="Z21" s="671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6">
        <v>4680115885912</v>
      </c>
      <c r="E22" s="677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2"/>
      <c r="R22" s="682"/>
      <c r="S22" s="682"/>
      <c r="T22" s="683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6">
        <v>4607091388237</v>
      </c>
      <c r="E23" s="677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9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2"/>
      <c r="R23" s="682"/>
      <c r="S23" s="682"/>
      <c r="T23" s="683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6">
        <v>4680115886230</v>
      </c>
      <c r="E24" s="677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0" t="s">
        <v>75</v>
      </c>
      <c r="Q24" s="682"/>
      <c r="R24" s="682"/>
      <c r="S24" s="682"/>
      <c r="T24" s="683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6">
        <v>4680115886247</v>
      </c>
      <c r="E25" s="677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698" t="s">
        <v>79</v>
      </c>
      <c r="Q25" s="682"/>
      <c r="R25" s="682"/>
      <c r="S25" s="682"/>
      <c r="T25" s="683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6">
        <v>4680115885905</v>
      </c>
      <c r="E26" s="677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2"/>
      <c r="R26" s="682"/>
      <c r="S26" s="682"/>
      <c r="T26" s="683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6">
        <v>4607091388244</v>
      </c>
      <c r="E27" s="677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4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2"/>
      <c r="R27" s="682"/>
      <c r="S27" s="682"/>
      <c r="T27" s="683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0"/>
      <c r="B28" s="671"/>
      <c r="C28" s="671"/>
      <c r="D28" s="671"/>
      <c r="E28" s="671"/>
      <c r="F28" s="671"/>
      <c r="G28" s="671"/>
      <c r="H28" s="671"/>
      <c r="I28" s="671"/>
      <c r="J28" s="671"/>
      <c r="K28" s="671"/>
      <c r="L28" s="671"/>
      <c r="M28" s="671"/>
      <c r="N28" s="671"/>
      <c r="O28" s="672"/>
      <c r="P28" s="678" t="s">
        <v>87</v>
      </c>
      <c r="Q28" s="668"/>
      <c r="R28" s="668"/>
      <c r="S28" s="668"/>
      <c r="T28" s="668"/>
      <c r="U28" s="668"/>
      <c r="V28" s="669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1"/>
      <c r="B29" s="671"/>
      <c r="C29" s="671"/>
      <c r="D29" s="671"/>
      <c r="E29" s="671"/>
      <c r="F29" s="671"/>
      <c r="G29" s="671"/>
      <c r="H29" s="671"/>
      <c r="I29" s="671"/>
      <c r="J29" s="671"/>
      <c r="K29" s="671"/>
      <c r="L29" s="671"/>
      <c r="M29" s="671"/>
      <c r="N29" s="671"/>
      <c r="O29" s="672"/>
      <c r="P29" s="678" t="s">
        <v>87</v>
      </c>
      <c r="Q29" s="668"/>
      <c r="R29" s="668"/>
      <c r="S29" s="668"/>
      <c r="T29" s="668"/>
      <c r="U29" s="668"/>
      <c r="V29" s="669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80" t="s">
        <v>89</v>
      </c>
      <c r="B30" s="671"/>
      <c r="C30" s="671"/>
      <c r="D30" s="671"/>
      <c r="E30" s="671"/>
      <c r="F30" s="671"/>
      <c r="G30" s="671"/>
      <c r="H30" s="671"/>
      <c r="I30" s="671"/>
      <c r="J30" s="671"/>
      <c r="K30" s="671"/>
      <c r="L30" s="671"/>
      <c r="M30" s="671"/>
      <c r="N30" s="671"/>
      <c r="O30" s="671"/>
      <c r="P30" s="671"/>
      <c r="Q30" s="671"/>
      <c r="R30" s="671"/>
      <c r="S30" s="671"/>
      <c r="T30" s="671"/>
      <c r="U30" s="671"/>
      <c r="V30" s="671"/>
      <c r="W30" s="671"/>
      <c r="X30" s="671"/>
      <c r="Y30" s="671"/>
      <c r="Z30" s="671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6">
        <v>4607091388503</v>
      </c>
      <c r="E31" s="677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101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2"/>
      <c r="R31" s="682"/>
      <c r="S31" s="682"/>
      <c r="T31" s="683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0"/>
      <c r="B32" s="671"/>
      <c r="C32" s="671"/>
      <c r="D32" s="671"/>
      <c r="E32" s="671"/>
      <c r="F32" s="671"/>
      <c r="G32" s="671"/>
      <c r="H32" s="671"/>
      <c r="I32" s="671"/>
      <c r="J32" s="671"/>
      <c r="K32" s="671"/>
      <c r="L32" s="671"/>
      <c r="M32" s="671"/>
      <c r="N32" s="671"/>
      <c r="O32" s="672"/>
      <c r="P32" s="678" t="s">
        <v>87</v>
      </c>
      <c r="Q32" s="668"/>
      <c r="R32" s="668"/>
      <c r="S32" s="668"/>
      <c r="T32" s="668"/>
      <c r="U32" s="668"/>
      <c r="V32" s="669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1"/>
      <c r="B33" s="671"/>
      <c r="C33" s="671"/>
      <c r="D33" s="671"/>
      <c r="E33" s="671"/>
      <c r="F33" s="671"/>
      <c r="G33" s="671"/>
      <c r="H33" s="671"/>
      <c r="I33" s="671"/>
      <c r="J33" s="671"/>
      <c r="K33" s="671"/>
      <c r="L33" s="671"/>
      <c r="M33" s="671"/>
      <c r="N33" s="671"/>
      <c r="O33" s="672"/>
      <c r="P33" s="678" t="s">
        <v>87</v>
      </c>
      <c r="Q33" s="668"/>
      <c r="R33" s="668"/>
      <c r="S33" s="668"/>
      <c r="T33" s="668"/>
      <c r="U33" s="668"/>
      <c r="V33" s="669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790" t="s">
        <v>95</v>
      </c>
      <c r="B34" s="791"/>
      <c r="C34" s="791"/>
      <c r="D34" s="791"/>
      <c r="E34" s="791"/>
      <c r="F34" s="791"/>
      <c r="G34" s="791"/>
      <c r="H34" s="791"/>
      <c r="I34" s="791"/>
      <c r="J34" s="791"/>
      <c r="K34" s="791"/>
      <c r="L34" s="791"/>
      <c r="M34" s="791"/>
      <c r="N34" s="791"/>
      <c r="O34" s="791"/>
      <c r="P34" s="791"/>
      <c r="Q34" s="791"/>
      <c r="R34" s="791"/>
      <c r="S34" s="791"/>
      <c r="T34" s="791"/>
      <c r="U34" s="791"/>
      <c r="V34" s="791"/>
      <c r="W34" s="791"/>
      <c r="X34" s="791"/>
      <c r="Y34" s="791"/>
      <c r="Z34" s="791"/>
      <c r="AA34" s="48"/>
      <c r="AB34" s="48"/>
      <c r="AC34" s="48"/>
    </row>
    <row r="35" spans="1:68" ht="16.5" customHeight="1" x14ac:dyDescent="0.25">
      <c r="A35" s="686" t="s">
        <v>96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8"/>
      <c r="AB35" s="658"/>
      <c r="AC35" s="658"/>
    </row>
    <row r="36" spans="1:68" ht="14.25" customHeight="1" x14ac:dyDescent="0.25">
      <c r="A36" s="680" t="s">
        <v>97</v>
      </c>
      <c r="B36" s="671"/>
      <c r="C36" s="671"/>
      <c r="D36" s="671"/>
      <c r="E36" s="671"/>
      <c r="F36" s="671"/>
      <c r="G36" s="671"/>
      <c r="H36" s="671"/>
      <c r="I36" s="671"/>
      <c r="J36" s="671"/>
      <c r="K36" s="671"/>
      <c r="L36" s="671"/>
      <c r="M36" s="671"/>
      <c r="N36" s="671"/>
      <c r="O36" s="671"/>
      <c r="P36" s="671"/>
      <c r="Q36" s="671"/>
      <c r="R36" s="671"/>
      <c r="S36" s="671"/>
      <c r="T36" s="671"/>
      <c r="U36" s="671"/>
      <c r="V36" s="671"/>
      <c r="W36" s="671"/>
      <c r="X36" s="671"/>
      <c r="Y36" s="671"/>
      <c r="Z36" s="671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6">
        <v>4607091385670</v>
      </c>
      <c r="E37" s="677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2"/>
      <c r="R37" s="682"/>
      <c r="S37" s="682"/>
      <c r="T37" s="683"/>
      <c r="U37" s="34"/>
      <c r="V37" s="34"/>
      <c r="W37" s="35" t="s">
        <v>68</v>
      </c>
      <c r="X37" s="663">
        <v>135</v>
      </c>
      <c r="Y37" s="664">
        <f>IFERROR(IF(X37="",0,CEILING((X37/$H37),1)*$H37),"")</f>
        <v>140.4</v>
      </c>
      <c r="Z37" s="36">
        <f>IFERROR(IF(Y37=0,"",ROUNDUP(Y37/H37,0)*0.01898),"")</f>
        <v>0.24674000000000001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140.43749999999997</v>
      </c>
      <c r="BN37" s="64">
        <f>IFERROR(Y37*I37/H37,"0")</f>
        <v>146.05499999999998</v>
      </c>
      <c r="BO37" s="64">
        <f>IFERROR(1/J37*(X37/H37),"0")</f>
        <v>0.1953125</v>
      </c>
      <c r="BP37" s="64">
        <f>IFERROR(1/J37*(Y37/H37),"0")</f>
        <v>0.203125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6">
        <v>4607091385687</v>
      </c>
      <c r="E38" s="677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8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2"/>
      <c r="R38" s="682"/>
      <c r="S38" s="682"/>
      <c r="T38" s="683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6">
        <v>4680115882539</v>
      </c>
      <c r="E39" s="677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98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2"/>
      <c r="R39" s="682"/>
      <c r="S39" s="682"/>
      <c r="T39" s="683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6">
        <v>4680115883949</v>
      </c>
      <c r="E40" s="677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82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2"/>
      <c r="R40" s="682"/>
      <c r="S40" s="682"/>
      <c r="T40" s="683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0"/>
      <c r="B41" s="671"/>
      <c r="C41" s="671"/>
      <c r="D41" s="671"/>
      <c r="E41" s="671"/>
      <c r="F41" s="671"/>
      <c r="G41" s="671"/>
      <c r="H41" s="671"/>
      <c r="I41" s="671"/>
      <c r="J41" s="671"/>
      <c r="K41" s="671"/>
      <c r="L41" s="671"/>
      <c r="M41" s="671"/>
      <c r="N41" s="671"/>
      <c r="O41" s="672"/>
      <c r="P41" s="678" t="s">
        <v>87</v>
      </c>
      <c r="Q41" s="668"/>
      <c r="R41" s="668"/>
      <c r="S41" s="668"/>
      <c r="T41" s="668"/>
      <c r="U41" s="668"/>
      <c r="V41" s="669"/>
      <c r="W41" s="37" t="s">
        <v>88</v>
      </c>
      <c r="X41" s="665">
        <f>IFERROR(X37/H37,"0")+IFERROR(X38/H38,"0")+IFERROR(X39/H39,"0")+IFERROR(X40/H40,"0")</f>
        <v>12.5</v>
      </c>
      <c r="Y41" s="665">
        <f>IFERROR(Y37/H37,"0")+IFERROR(Y38/H38,"0")+IFERROR(Y39/H39,"0")+IFERROR(Y40/H40,"0")</f>
        <v>13</v>
      </c>
      <c r="Z41" s="665">
        <f>IFERROR(IF(Z37="",0,Z37),"0")+IFERROR(IF(Z38="",0,Z38),"0")+IFERROR(IF(Z39="",0,Z39),"0")+IFERROR(IF(Z40="",0,Z40),"0")</f>
        <v>0.24674000000000001</v>
      </c>
      <c r="AA41" s="666"/>
      <c r="AB41" s="666"/>
      <c r="AC41" s="666"/>
    </row>
    <row r="42" spans="1:68" x14ac:dyDescent="0.2">
      <c r="A42" s="671"/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  <c r="O42" s="672"/>
      <c r="P42" s="678" t="s">
        <v>87</v>
      </c>
      <c r="Q42" s="668"/>
      <c r="R42" s="668"/>
      <c r="S42" s="668"/>
      <c r="T42" s="668"/>
      <c r="U42" s="668"/>
      <c r="V42" s="669"/>
      <c r="W42" s="37" t="s">
        <v>68</v>
      </c>
      <c r="X42" s="665">
        <f>IFERROR(SUM(X37:X40),"0")</f>
        <v>135</v>
      </c>
      <c r="Y42" s="665">
        <f>IFERROR(SUM(Y37:Y40),"0")</f>
        <v>140.4</v>
      </c>
      <c r="Z42" s="37"/>
      <c r="AA42" s="666"/>
      <c r="AB42" s="666"/>
      <c r="AC42" s="666"/>
    </row>
    <row r="43" spans="1:68" ht="14.25" customHeight="1" x14ac:dyDescent="0.25">
      <c r="A43" s="680" t="s">
        <v>63</v>
      </c>
      <c r="B43" s="671"/>
      <c r="C43" s="671"/>
      <c r="D43" s="671"/>
      <c r="E43" s="671"/>
      <c r="F43" s="671"/>
      <c r="G43" s="671"/>
      <c r="H43" s="671"/>
      <c r="I43" s="671"/>
      <c r="J43" s="671"/>
      <c r="K43" s="671"/>
      <c r="L43" s="671"/>
      <c r="M43" s="671"/>
      <c r="N43" s="671"/>
      <c r="O43" s="671"/>
      <c r="P43" s="671"/>
      <c r="Q43" s="671"/>
      <c r="R43" s="671"/>
      <c r="S43" s="671"/>
      <c r="T43" s="671"/>
      <c r="U43" s="671"/>
      <c r="V43" s="671"/>
      <c r="W43" s="671"/>
      <c r="X43" s="671"/>
      <c r="Y43" s="671"/>
      <c r="Z43" s="671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6">
        <v>4680115884915</v>
      </c>
      <c r="E44" s="677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101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2"/>
      <c r="R44" s="682"/>
      <c r="S44" s="682"/>
      <c r="T44" s="683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0"/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2"/>
      <c r="P45" s="678" t="s">
        <v>87</v>
      </c>
      <c r="Q45" s="668"/>
      <c r="R45" s="668"/>
      <c r="S45" s="668"/>
      <c r="T45" s="668"/>
      <c r="U45" s="668"/>
      <c r="V45" s="669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1"/>
      <c r="B46" s="671"/>
      <c r="C46" s="671"/>
      <c r="D46" s="671"/>
      <c r="E46" s="671"/>
      <c r="F46" s="671"/>
      <c r="G46" s="671"/>
      <c r="H46" s="671"/>
      <c r="I46" s="671"/>
      <c r="J46" s="671"/>
      <c r="K46" s="671"/>
      <c r="L46" s="671"/>
      <c r="M46" s="671"/>
      <c r="N46" s="671"/>
      <c r="O46" s="672"/>
      <c r="P46" s="678" t="s">
        <v>87</v>
      </c>
      <c r="Q46" s="668"/>
      <c r="R46" s="668"/>
      <c r="S46" s="668"/>
      <c r="T46" s="668"/>
      <c r="U46" s="668"/>
      <c r="V46" s="669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686" t="s">
        <v>115</v>
      </c>
      <c r="B47" s="671"/>
      <c r="C47" s="671"/>
      <c r="D47" s="671"/>
      <c r="E47" s="671"/>
      <c r="F47" s="671"/>
      <c r="G47" s="671"/>
      <c r="H47" s="671"/>
      <c r="I47" s="671"/>
      <c r="J47" s="671"/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71"/>
      <c r="W47" s="671"/>
      <c r="X47" s="671"/>
      <c r="Y47" s="671"/>
      <c r="Z47" s="671"/>
      <c r="AA47" s="658"/>
      <c r="AB47" s="658"/>
      <c r="AC47" s="658"/>
    </row>
    <row r="48" spans="1:68" ht="14.25" customHeight="1" x14ac:dyDescent="0.25">
      <c r="A48" s="680" t="s">
        <v>97</v>
      </c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71"/>
      <c r="X48" s="671"/>
      <c r="Y48" s="671"/>
      <c r="Z48" s="671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6">
        <v>4680115885882</v>
      </c>
      <c r="E49" s="677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7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2"/>
      <c r="R49" s="682"/>
      <c r="S49" s="682"/>
      <c r="T49" s="683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6">
        <v>4680115881426</v>
      </c>
      <c r="E50" s="677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9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2"/>
      <c r="R50" s="682"/>
      <c r="S50" s="682"/>
      <c r="T50" s="683"/>
      <c r="U50" s="34"/>
      <c r="V50" s="34"/>
      <c r="W50" s="35" t="s">
        <v>68</v>
      </c>
      <c r="X50" s="663">
        <v>6</v>
      </c>
      <c r="Y50" s="664">
        <f t="shared" si="6"/>
        <v>10.8</v>
      </c>
      <c r="Z50" s="36">
        <f>IFERROR(IF(Y50=0,"",ROUNDUP(Y50/H50,0)*0.01898),"")</f>
        <v>1.898E-2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6.2416666666666663</v>
      </c>
      <c r="BN50" s="64">
        <f t="shared" si="8"/>
        <v>11.234999999999999</v>
      </c>
      <c r="BO50" s="64">
        <f t="shared" si="9"/>
        <v>8.6805555555555542E-3</v>
      </c>
      <c r="BP50" s="64">
        <f t="shared" si="10"/>
        <v>1.5625E-2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6">
        <v>4680115880283</v>
      </c>
      <c r="E51" s="677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2"/>
      <c r="R51" s="682"/>
      <c r="S51" s="682"/>
      <c r="T51" s="683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6">
        <v>4680115881525</v>
      </c>
      <c r="E52" s="677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97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2"/>
      <c r="R52" s="682"/>
      <c r="S52" s="682"/>
      <c r="T52" s="683"/>
      <c r="U52" s="34"/>
      <c r="V52" s="34"/>
      <c r="W52" s="35" t="s">
        <v>68</v>
      </c>
      <c r="X52" s="663">
        <v>14</v>
      </c>
      <c r="Y52" s="664">
        <f t="shared" si="6"/>
        <v>16</v>
      </c>
      <c r="Z52" s="36">
        <f>IFERROR(IF(Y52=0,"",ROUNDUP(Y52/H52,0)*0.00902),"")</f>
        <v>3.6080000000000001E-2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14.734999999999999</v>
      </c>
      <c r="BN52" s="64">
        <f t="shared" si="8"/>
        <v>16.84</v>
      </c>
      <c r="BO52" s="64">
        <f t="shared" si="9"/>
        <v>2.6515151515151516E-2</v>
      </c>
      <c r="BP52" s="64">
        <f t="shared" si="10"/>
        <v>3.0303030303030304E-2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6">
        <v>4680115885899</v>
      </c>
      <c r="E53" s="677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95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2"/>
      <c r="R53" s="682"/>
      <c r="S53" s="682"/>
      <c r="T53" s="683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6">
        <v>4680115881419</v>
      </c>
      <c r="E54" s="677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2"/>
      <c r="R54" s="682"/>
      <c r="S54" s="682"/>
      <c r="T54" s="683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0"/>
      <c r="B55" s="671"/>
      <c r="C55" s="671"/>
      <c r="D55" s="671"/>
      <c r="E55" s="671"/>
      <c r="F55" s="671"/>
      <c r="G55" s="671"/>
      <c r="H55" s="671"/>
      <c r="I55" s="671"/>
      <c r="J55" s="671"/>
      <c r="K55" s="671"/>
      <c r="L55" s="671"/>
      <c r="M55" s="671"/>
      <c r="N55" s="671"/>
      <c r="O55" s="672"/>
      <c r="P55" s="678" t="s">
        <v>87</v>
      </c>
      <c r="Q55" s="668"/>
      <c r="R55" s="668"/>
      <c r="S55" s="668"/>
      <c r="T55" s="668"/>
      <c r="U55" s="668"/>
      <c r="V55" s="669"/>
      <c r="W55" s="37" t="s">
        <v>88</v>
      </c>
      <c r="X55" s="665">
        <f>IFERROR(X49/H49,"0")+IFERROR(X50/H50,"0")+IFERROR(X51/H51,"0")+IFERROR(X52/H52,"0")+IFERROR(X53/H53,"0")+IFERROR(X54/H54,"0")</f>
        <v>4.0555555555555554</v>
      </c>
      <c r="Y55" s="665">
        <f>IFERROR(Y49/H49,"0")+IFERROR(Y50/H50,"0")+IFERROR(Y51/H51,"0")+IFERROR(Y52/H52,"0")+IFERROR(Y53/H53,"0")+IFERROR(Y54/H54,"0")</f>
        <v>5</v>
      </c>
      <c r="Z55" s="665">
        <f>IFERROR(IF(Z49="",0,Z49),"0")+IFERROR(IF(Z50="",0,Z50),"0")+IFERROR(IF(Z51="",0,Z51),"0")+IFERROR(IF(Z52="",0,Z52),"0")+IFERROR(IF(Z53="",0,Z53),"0")+IFERROR(IF(Z54="",0,Z54),"0")</f>
        <v>5.5059999999999998E-2</v>
      </c>
      <c r="AA55" s="666"/>
      <c r="AB55" s="666"/>
      <c r="AC55" s="666"/>
    </row>
    <row r="56" spans="1:68" x14ac:dyDescent="0.2">
      <c r="A56" s="671"/>
      <c r="B56" s="671"/>
      <c r="C56" s="671"/>
      <c r="D56" s="671"/>
      <c r="E56" s="671"/>
      <c r="F56" s="671"/>
      <c r="G56" s="671"/>
      <c r="H56" s="671"/>
      <c r="I56" s="671"/>
      <c r="J56" s="671"/>
      <c r="K56" s="671"/>
      <c r="L56" s="671"/>
      <c r="M56" s="671"/>
      <c r="N56" s="671"/>
      <c r="O56" s="672"/>
      <c r="P56" s="678" t="s">
        <v>87</v>
      </c>
      <c r="Q56" s="668"/>
      <c r="R56" s="668"/>
      <c r="S56" s="668"/>
      <c r="T56" s="668"/>
      <c r="U56" s="668"/>
      <c r="V56" s="669"/>
      <c r="W56" s="37" t="s">
        <v>68</v>
      </c>
      <c r="X56" s="665">
        <f>IFERROR(SUM(X49:X54),"0")</f>
        <v>20</v>
      </c>
      <c r="Y56" s="665">
        <f>IFERROR(SUM(Y49:Y54),"0")</f>
        <v>26.8</v>
      </c>
      <c r="Z56" s="37"/>
      <c r="AA56" s="666"/>
      <c r="AB56" s="666"/>
      <c r="AC56" s="666"/>
    </row>
    <row r="57" spans="1:68" ht="14.25" customHeight="1" x14ac:dyDescent="0.25">
      <c r="A57" s="680" t="s">
        <v>133</v>
      </c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6">
        <v>4680115881440</v>
      </c>
      <c r="E58" s="677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2"/>
      <c r="R58" s="682"/>
      <c r="S58" s="682"/>
      <c r="T58" s="683"/>
      <c r="U58" s="34"/>
      <c r="V58" s="34"/>
      <c r="W58" s="35" t="s">
        <v>68</v>
      </c>
      <c r="X58" s="663">
        <v>10</v>
      </c>
      <c r="Y58" s="664">
        <f>IFERROR(IF(X58="",0,CEILING((X58/$H58),1)*$H58),"")</f>
        <v>10.8</v>
      </c>
      <c r="Z58" s="36">
        <f>IFERROR(IF(Y58=0,"",ROUNDUP(Y58/H58,0)*0.01898),"")</f>
        <v>1.898E-2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10.402777777777777</v>
      </c>
      <c r="BN58" s="64">
        <f>IFERROR(Y58*I58/H58,"0")</f>
        <v>11.234999999999999</v>
      </c>
      <c r="BO58" s="64">
        <f>IFERROR(1/J58*(X58/H58),"0")</f>
        <v>1.4467592592592591E-2</v>
      </c>
      <c r="BP58" s="64">
        <f>IFERROR(1/J58*(Y58/H58),"0")</f>
        <v>1.5625E-2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6">
        <v>4680115882751</v>
      </c>
      <c r="E59" s="677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79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2"/>
      <c r="R59" s="682"/>
      <c r="S59" s="682"/>
      <c r="T59" s="683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6">
        <v>4680115885950</v>
      </c>
      <c r="E60" s="677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2"/>
      <c r="R60" s="682"/>
      <c r="S60" s="682"/>
      <c r="T60" s="683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6">
        <v>4680115881433</v>
      </c>
      <c r="E61" s="677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2"/>
      <c r="R61" s="682"/>
      <c r="S61" s="682"/>
      <c r="T61" s="683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0"/>
      <c r="B62" s="671"/>
      <c r="C62" s="671"/>
      <c r="D62" s="671"/>
      <c r="E62" s="671"/>
      <c r="F62" s="671"/>
      <c r="G62" s="671"/>
      <c r="H62" s="671"/>
      <c r="I62" s="671"/>
      <c r="J62" s="671"/>
      <c r="K62" s="671"/>
      <c r="L62" s="671"/>
      <c r="M62" s="671"/>
      <c r="N62" s="671"/>
      <c r="O62" s="672"/>
      <c r="P62" s="678" t="s">
        <v>87</v>
      </c>
      <c r="Q62" s="668"/>
      <c r="R62" s="668"/>
      <c r="S62" s="668"/>
      <c r="T62" s="668"/>
      <c r="U62" s="668"/>
      <c r="V62" s="669"/>
      <c r="W62" s="37" t="s">
        <v>88</v>
      </c>
      <c r="X62" s="665">
        <f>IFERROR(X58/H58,"0")+IFERROR(X59/H59,"0")+IFERROR(X60/H60,"0")+IFERROR(X61/H61,"0")</f>
        <v>0.92592592592592582</v>
      </c>
      <c r="Y62" s="665">
        <f>IFERROR(Y58/H58,"0")+IFERROR(Y59/H59,"0")+IFERROR(Y60/H60,"0")+IFERROR(Y61/H61,"0")</f>
        <v>1</v>
      </c>
      <c r="Z62" s="665">
        <f>IFERROR(IF(Z58="",0,Z58),"0")+IFERROR(IF(Z59="",0,Z59),"0")+IFERROR(IF(Z60="",0,Z60),"0")+IFERROR(IF(Z61="",0,Z61),"0")</f>
        <v>1.898E-2</v>
      </c>
      <c r="AA62" s="666"/>
      <c r="AB62" s="666"/>
      <c r="AC62" s="666"/>
    </row>
    <row r="63" spans="1:68" x14ac:dyDescent="0.2">
      <c r="A63" s="671"/>
      <c r="B63" s="671"/>
      <c r="C63" s="671"/>
      <c r="D63" s="671"/>
      <c r="E63" s="671"/>
      <c r="F63" s="671"/>
      <c r="G63" s="671"/>
      <c r="H63" s="671"/>
      <c r="I63" s="671"/>
      <c r="J63" s="671"/>
      <c r="K63" s="671"/>
      <c r="L63" s="671"/>
      <c r="M63" s="671"/>
      <c r="N63" s="671"/>
      <c r="O63" s="672"/>
      <c r="P63" s="678" t="s">
        <v>87</v>
      </c>
      <c r="Q63" s="668"/>
      <c r="R63" s="668"/>
      <c r="S63" s="668"/>
      <c r="T63" s="668"/>
      <c r="U63" s="668"/>
      <c r="V63" s="669"/>
      <c r="W63" s="37" t="s">
        <v>68</v>
      </c>
      <c r="X63" s="665">
        <f>IFERROR(SUM(X58:X61),"0")</f>
        <v>10</v>
      </c>
      <c r="Y63" s="665">
        <f>IFERROR(SUM(Y58:Y61),"0")</f>
        <v>10.8</v>
      </c>
      <c r="Z63" s="37"/>
      <c r="AA63" s="666"/>
      <c r="AB63" s="666"/>
      <c r="AC63" s="666"/>
    </row>
    <row r="64" spans="1:68" ht="14.25" customHeight="1" x14ac:dyDescent="0.25">
      <c r="A64" s="680" t="s">
        <v>144</v>
      </c>
      <c r="B64" s="671"/>
      <c r="C64" s="671"/>
      <c r="D64" s="671"/>
      <c r="E64" s="671"/>
      <c r="F64" s="671"/>
      <c r="G64" s="671"/>
      <c r="H64" s="671"/>
      <c r="I64" s="671"/>
      <c r="J64" s="671"/>
      <c r="K64" s="671"/>
      <c r="L64" s="671"/>
      <c r="M64" s="671"/>
      <c r="N64" s="671"/>
      <c r="O64" s="671"/>
      <c r="P64" s="671"/>
      <c r="Q64" s="671"/>
      <c r="R64" s="671"/>
      <c r="S64" s="671"/>
      <c r="T64" s="671"/>
      <c r="U64" s="671"/>
      <c r="V64" s="671"/>
      <c r="W64" s="671"/>
      <c r="X64" s="671"/>
      <c r="Y64" s="671"/>
      <c r="Z64" s="671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6">
        <v>4680115885073</v>
      </c>
      <c r="E65" s="677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71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2"/>
      <c r="R65" s="682"/>
      <c r="S65" s="682"/>
      <c r="T65" s="683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6">
        <v>4680115885059</v>
      </c>
      <c r="E66" s="677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9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2"/>
      <c r="R66" s="682"/>
      <c r="S66" s="682"/>
      <c r="T66" s="683"/>
      <c r="U66" s="34"/>
      <c r="V66" s="34"/>
      <c r="W66" s="35" t="s">
        <v>68</v>
      </c>
      <c r="X66" s="663">
        <v>2</v>
      </c>
      <c r="Y66" s="664">
        <f>IFERROR(IF(X66="",0,CEILING((X66/$H66),1)*$H66),"")</f>
        <v>3.6</v>
      </c>
      <c r="Z66" s="36">
        <f>IFERROR(IF(Y66=0,"",ROUNDUP(Y66/H66,0)*0.00502),"")</f>
        <v>1.004E-2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2.1111111111111112</v>
      </c>
      <c r="BN66" s="64">
        <f>IFERROR(Y66*I66/H66,"0")</f>
        <v>3.8</v>
      </c>
      <c r="BO66" s="64">
        <f>IFERROR(1/J66*(X66/H66),"0")</f>
        <v>4.7483380816714157E-3</v>
      </c>
      <c r="BP66" s="64">
        <f>IFERROR(1/J66*(Y66/H66),"0")</f>
        <v>8.5470085470085479E-3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6">
        <v>4680115885097</v>
      </c>
      <c r="E67" s="677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74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2"/>
      <c r="R67" s="682"/>
      <c r="S67" s="682"/>
      <c r="T67" s="683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0"/>
      <c r="B68" s="671"/>
      <c r="C68" s="671"/>
      <c r="D68" s="671"/>
      <c r="E68" s="671"/>
      <c r="F68" s="671"/>
      <c r="G68" s="671"/>
      <c r="H68" s="671"/>
      <c r="I68" s="671"/>
      <c r="J68" s="671"/>
      <c r="K68" s="671"/>
      <c r="L68" s="671"/>
      <c r="M68" s="671"/>
      <c r="N68" s="671"/>
      <c r="O68" s="672"/>
      <c r="P68" s="678" t="s">
        <v>87</v>
      </c>
      <c r="Q68" s="668"/>
      <c r="R68" s="668"/>
      <c r="S68" s="668"/>
      <c r="T68" s="668"/>
      <c r="U68" s="668"/>
      <c r="V68" s="669"/>
      <c r="W68" s="37" t="s">
        <v>88</v>
      </c>
      <c r="X68" s="665">
        <f>IFERROR(X65/H65,"0")+IFERROR(X66/H66,"0")+IFERROR(X67/H67,"0")</f>
        <v>1.1111111111111112</v>
      </c>
      <c r="Y68" s="665">
        <f>IFERROR(Y65/H65,"0")+IFERROR(Y66/H66,"0")+IFERROR(Y67/H67,"0")</f>
        <v>2</v>
      </c>
      <c r="Z68" s="665">
        <f>IFERROR(IF(Z65="",0,Z65),"0")+IFERROR(IF(Z66="",0,Z66),"0")+IFERROR(IF(Z67="",0,Z67),"0")</f>
        <v>1.004E-2</v>
      </c>
      <c r="AA68" s="666"/>
      <c r="AB68" s="666"/>
      <c r="AC68" s="666"/>
    </row>
    <row r="69" spans="1:68" x14ac:dyDescent="0.2">
      <c r="A69" s="671"/>
      <c r="B69" s="671"/>
      <c r="C69" s="671"/>
      <c r="D69" s="671"/>
      <c r="E69" s="671"/>
      <c r="F69" s="671"/>
      <c r="G69" s="671"/>
      <c r="H69" s="671"/>
      <c r="I69" s="671"/>
      <c r="J69" s="671"/>
      <c r="K69" s="671"/>
      <c r="L69" s="671"/>
      <c r="M69" s="671"/>
      <c r="N69" s="671"/>
      <c r="O69" s="672"/>
      <c r="P69" s="678" t="s">
        <v>87</v>
      </c>
      <c r="Q69" s="668"/>
      <c r="R69" s="668"/>
      <c r="S69" s="668"/>
      <c r="T69" s="668"/>
      <c r="U69" s="668"/>
      <c r="V69" s="669"/>
      <c r="W69" s="37" t="s">
        <v>68</v>
      </c>
      <c r="X69" s="665">
        <f>IFERROR(SUM(X65:X67),"0")</f>
        <v>2</v>
      </c>
      <c r="Y69" s="665">
        <f>IFERROR(SUM(Y65:Y67),"0")</f>
        <v>3.6</v>
      </c>
      <c r="Z69" s="37"/>
      <c r="AA69" s="666"/>
      <c r="AB69" s="666"/>
      <c r="AC69" s="666"/>
    </row>
    <row r="70" spans="1:68" ht="14.25" customHeight="1" x14ac:dyDescent="0.25">
      <c r="A70" s="680" t="s">
        <v>63</v>
      </c>
      <c r="B70" s="671"/>
      <c r="C70" s="671"/>
      <c r="D70" s="671"/>
      <c r="E70" s="671"/>
      <c r="F70" s="671"/>
      <c r="G70" s="671"/>
      <c r="H70" s="671"/>
      <c r="I70" s="671"/>
      <c r="J70" s="671"/>
      <c r="K70" s="671"/>
      <c r="L70" s="671"/>
      <c r="M70" s="671"/>
      <c r="N70" s="671"/>
      <c r="O70" s="671"/>
      <c r="P70" s="671"/>
      <c r="Q70" s="671"/>
      <c r="R70" s="671"/>
      <c r="S70" s="671"/>
      <c r="T70" s="671"/>
      <c r="U70" s="671"/>
      <c r="V70" s="671"/>
      <c r="W70" s="671"/>
      <c r="X70" s="671"/>
      <c r="Y70" s="671"/>
      <c r="Z70" s="671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6">
        <v>4680115881891</v>
      </c>
      <c r="E71" s="677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70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2"/>
      <c r="R71" s="682"/>
      <c r="S71" s="682"/>
      <c r="T71" s="683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6">
        <v>4680115885769</v>
      </c>
      <c r="E72" s="677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7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2"/>
      <c r="R72" s="682"/>
      <c r="S72" s="682"/>
      <c r="T72" s="683"/>
      <c r="U72" s="34"/>
      <c r="V72" s="34"/>
      <c r="W72" s="35" t="s">
        <v>68</v>
      </c>
      <c r="X72" s="663">
        <v>16</v>
      </c>
      <c r="Y72" s="664">
        <f t="shared" si="11"/>
        <v>16.8</v>
      </c>
      <c r="Z72" s="36">
        <f>IFERROR(IF(Y72=0,"",ROUNDUP(Y72/H72,0)*0.01898),"")</f>
        <v>3.7960000000000001E-2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16.828571428571429</v>
      </c>
      <c r="BN72" s="64">
        <f t="shared" si="13"/>
        <v>17.670000000000002</v>
      </c>
      <c r="BO72" s="64">
        <f t="shared" si="14"/>
        <v>2.976190476190476E-2</v>
      </c>
      <c r="BP72" s="64">
        <f t="shared" si="15"/>
        <v>3.125E-2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6">
        <v>4680115884410</v>
      </c>
      <c r="E73" s="677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1042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2"/>
      <c r="R73" s="682"/>
      <c r="S73" s="682"/>
      <c r="T73" s="683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6">
        <v>4680115884311</v>
      </c>
      <c r="E74" s="677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2"/>
      <c r="R74" s="682"/>
      <c r="S74" s="682"/>
      <c r="T74" s="683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6">
        <v>4680115885929</v>
      </c>
      <c r="E75" s="677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2"/>
      <c r="R75" s="682"/>
      <c r="S75" s="682"/>
      <c r="T75" s="683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6">
        <v>4680115884403</v>
      </c>
      <c r="E76" s="677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9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2"/>
      <c r="R76" s="682"/>
      <c r="S76" s="682"/>
      <c r="T76" s="683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0"/>
      <c r="B77" s="671"/>
      <c r="C77" s="671"/>
      <c r="D77" s="671"/>
      <c r="E77" s="671"/>
      <c r="F77" s="671"/>
      <c r="G77" s="671"/>
      <c r="H77" s="671"/>
      <c r="I77" s="671"/>
      <c r="J77" s="671"/>
      <c r="K77" s="671"/>
      <c r="L77" s="671"/>
      <c r="M77" s="671"/>
      <c r="N77" s="671"/>
      <c r="O77" s="672"/>
      <c r="P77" s="678" t="s">
        <v>87</v>
      </c>
      <c r="Q77" s="668"/>
      <c r="R77" s="668"/>
      <c r="S77" s="668"/>
      <c r="T77" s="668"/>
      <c r="U77" s="668"/>
      <c r="V77" s="669"/>
      <c r="W77" s="37" t="s">
        <v>88</v>
      </c>
      <c r="X77" s="665">
        <f>IFERROR(X71/H71,"0")+IFERROR(X72/H72,"0")+IFERROR(X73/H73,"0")+IFERROR(X74/H74,"0")+IFERROR(X75/H75,"0")+IFERROR(X76/H76,"0")</f>
        <v>1.9047619047619047</v>
      </c>
      <c r="Y77" s="665">
        <f>IFERROR(Y71/H71,"0")+IFERROR(Y72/H72,"0")+IFERROR(Y73/H73,"0")+IFERROR(Y74/H74,"0")+IFERROR(Y75/H75,"0")+IFERROR(Y76/H76,"0")</f>
        <v>2</v>
      </c>
      <c r="Z77" s="665">
        <f>IFERROR(IF(Z71="",0,Z71),"0")+IFERROR(IF(Z72="",0,Z72),"0")+IFERROR(IF(Z73="",0,Z73),"0")+IFERROR(IF(Z74="",0,Z74),"0")+IFERROR(IF(Z75="",0,Z75),"0")+IFERROR(IF(Z76="",0,Z76),"0")</f>
        <v>3.7960000000000001E-2</v>
      </c>
      <c r="AA77" s="666"/>
      <c r="AB77" s="666"/>
      <c r="AC77" s="666"/>
    </row>
    <row r="78" spans="1:68" x14ac:dyDescent="0.2">
      <c r="A78" s="671"/>
      <c r="B78" s="671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671"/>
      <c r="O78" s="672"/>
      <c r="P78" s="678" t="s">
        <v>87</v>
      </c>
      <c r="Q78" s="668"/>
      <c r="R78" s="668"/>
      <c r="S78" s="668"/>
      <c r="T78" s="668"/>
      <c r="U78" s="668"/>
      <c r="V78" s="669"/>
      <c r="W78" s="37" t="s">
        <v>68</v>
      </c>
      <c r="X78" s="665">
        <f>IFERROR(SUM(X71:X76),"0")</f>
        <v>16</v>
      </c>
      <c r="Y78" s="665">
        <f>IFERROR(SUM(Y71:Y76),"0")</f>
        <v>16.8</v>
      </c>
      <c r="Z78" s="37"/>
      <c r="AA78" s="666"/>
      <c r="AB78" s="666"/>
      <c r="AC78" s="666"/>
    </row>
    <row r="79" spans="1:68" ht="14.25" customHeight="1" x14ac:dyDescent="0.25">
      <c r="A79" s="680" t="s">
        <v>170</v>
      </c>
      <c r="B79" s="671"/>
      <c r="C79" s="671"/>
      <c r="D79" s="671"/>
      <c r="E79" s="671"/>
      <c r="F79" s="671"/>
      <c r="G79" s="671"/>
      <c r="H79" s="671"/>
      <c r="I79" s="671"/>
      <c r="J79" s="671"/>
      <c r="K79" s="671"/>
      <c r="L79" s="671"/>
      <c r="M79" s="671"/>
      <c r="N79" s="671"/>
      <c r="O79" s="671"/>
      <c r="P79" s="671"/>
      <c r="Q79" s="671"/>
      <c r="R79" s="671"/>
      <c r="S79" s="671"/>
      <c r="T79" s="671"/>
      <c r="U79" s="671"/>
      <c r="V79" s="671"/>
      <c r="W79" s="671"/>
      <c r="X79" s="671"/>
      <c r="Y79" s="671"/>
      <c r="Z79" s="671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76">
        <v>4680115881532</v>
      </c>
      <c r="E80" s="677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82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2"/>
      <c r="R80" s="682"/>
      <c r="S80" s="682"/>
      <c r="T80" s="683"/>
      <c r="U80" s="34"/>
      <c r="V80" s="34"/>
      <c r="W80" s="35" t="s">
        <v>68</v>
      </c>
      <c r="X80" s="663">
        <v>5</v>
      </c>
      <c r="Y80" s="664">
        <f>IFERROR(IF(X80="",0,CEILING((X80/$H80),1)*$H80),"")</f>
        <v>8.4</v>
      </c>
      <c r="Z80" s="36">
        <f>IFERROR(IF(Y80=0,"",ROUNDUP(Y80/H80,0)*0.01898),"")</f>
        <v>1.898E-2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5.308928571428571</v>
      </c>
      <c r="BN80" s="64">
        <f>IFERROR(Y80*I80/H80,"0")</f>
        <v>8.9190000000000005</v>
      </c>
      <c r="BO80" s="64">
        <f>IFERROR(1/J80*(X80/H80),"0")</f>
        <v>9.300595238095238E-3</v>
      </c>
      <c r="BP80" s="64">
        <f>IFERROR(1/J80*(Y80/H80),"0")</f>
        <v>1.5625E-2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76">
        <v>4680115881532</v>
      </c>
      <c r="E81" s="677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10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2"/>
      <c r="R81" s="682"/>
      <c r="S81" s="682"/>
      <c r="T81" s="683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6">
        <v>4680115881464</v>
      </c>
      <c r="E82" s="677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72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2"/>
      <c r="R82" s="682"/>
      <c r="S82" s="682"/>
      <c r="T82" s="683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0"/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2"/>
      <c r="P83" s="678" t="s">
        <v>87</v>
      </c>
      <c r="Q83" s="668"/>
      <c r="R83" s="668"/>
      <c r="S83" s="668"/>
      <c r="T83" s="668"/>
      <c r="U83" s="668"/>
      <c r="V83" s="669"/>
      <c r="W83" s="37" t="s">
        <v>88</v>
      </c>
      <c r="X83" s="665">
        <f>IFERROR(X80/H80,"0")+IFERROR(X81/H81,"0")+IFERROR(X82/H82,"0")</f>
        <v>0.59523809523809523</v>
      </c>
      <c r="Y83" s="665">
        <f>IFERROR(Y80/H80,"0")+IFERROR(Y81/H81,"0")+IFERROR(Y82/H82,"0")</f>
        <v>1</v>
      </c>
      <c r="Z83" s="665">
        <f>IFERROR(IF(Z80="",0,Z80),"0")+IFERROR(IF(Z81="",0,Z81),"0")+IFERROR(IF(Z82="",0,Z82),"0")</f>
        <v>1.898E-2</v>
      </c>
      <c r="AA83" s="666"/>
      <c r="AB83" s="666"/>
      <c r="AC83" s="666"/>
    </row>
    <row r="84" spans="1:68" x14ac:dyDescent="0.2">
      <c r="A84" s="671"/>
      <c r="B84" s="671"/>
      <c r="C84" s="671"/>
      <c r="D84" s="671"/>
      <c r="E84" s="671"/>
      <c r="F84" s="671"/>
      <c r="G84" s="671"/>
      <c r="H84" s="671"/>
      <c r="I84" s="671"/>
      <c r="J84" s="671"/>
      <c r="K84" s="671"/>
      <c r="L84" s="671"/>
      <c r="M84" s="671"/>
      <c r="N84" s="671"/>
      <c r="O84" s="672"/>
      <c r="P84" s="678" t="s">
        <v>87</v>
      </c>
      <c r="Q84" s="668"/>
      <c r="R84" s="668"/>
      <c r="S84" s="668"/>
      <c r="T84" s="668"/>
      <c r="U84" s="668"/>
      <c r="V84" s="669"/>
      <c r="W84" s="37" t="s">
        <v>68</v>
      </c>
      <c r="X84" s="665">
        <f>IFERROR(SUM(X80:X82),"0")</f>
        <v>5</v>
      </c>
      <c r="Y84" s="665">
        <f>IFERROR(SUM(Y80:Y82),"0")</f>
        <v>8.4</v>
      </c>
      <c r="Z84" s="37"/>
      <c r="AA84" s="666"/>
      <c r="AB84" s="666"/>
      <c r="AC84" s="666"/>
    </row>
    <row r="85" spans="1:68" ht="16.5" customHeight="1" x14ac:dyDescent="0.25">
      <c r="A85" s="686" t="s">
        <v>178</v>
      </c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58"/>
      <c r="AB85" s="658"/>
      <c r="AC85" s="658"/>
    </row>
    <row r="86" spans="1:68" ht="14.25" customHeight="1" x14ac:dyDescent="0.25">
      <c r="A86" s="680" t="s">
        <v>97</v>
      </c>
      <c r="B86" s="671"/>
      <c r="C86" s="671"/>
      <c r="D86" s="671"/>
      <c r="E86" s="671"/>
      <c r="F86" s="671"/>
      <c r="G86" s="671"/>
      <c r="H86" s="671"/>
      <c r="I86" s="671"/>
      <c r="J86" s="671"/>
      <c r="K86" s="671"/>
      <c r="L86" s="671"/>
      <c r="M86" s="671"/>
      <c r="N86" s="671"/>
      <c r="O86" s="671"/>
      <c r="P86" s="671"/>
      <c r="Q86" s="671"/>
      <c r="R86" s="671"/>
      <c r="S86" s="671"/>
      <c r="T86" s="671"/>
      <c r="U86" s="671"/>
      <c r="V86" s="671"/>
      <c r="W86" s="671"/>
      <c r="X86" s="671"/>
      <c r="Y86" s="671"/>
      <c r="Z86" s="671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6">
        <v>4680115881327</v>
      </c>
      <c r="E87" s="677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2"/>
      <c r="R87" s="682"/>
      <c r="S87" s="682"/>
      <c r="T87" s="683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6">
        <v>4680115881518</v>
      </c>
      <c r="E88" s="677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2"/>
      <c r="R88" s="682"/>
      <c r="S88" s="682"/>
      <c r="T88" s="683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6">
        <v>4680115881303</v>
      </c>
      <c r="E89" s="677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2"/>
      <c r="R89" s="682"/>
      <c r="S89" s="682"/>
      <c r="T89" s="683"/>
      <c r="U89" s="34"/>
      <c r="V89" s="34"/>
      <c r="W89" s="35" t="s">
        <v>68</v>
      </c>
      <c r="X89" s="663">
        <v>57</v>
      </c>
      <c r="Y89" s="664">
        <f>IFERROR(IF(X89="",0,CEILING((X89/$H89),1)*$H89),"")</f>
        <v>58.5</v>
      </c>
      <c r="Z89" s="36">
        <f>IFERROR(IF(Y89=0,"",ROUNDUP(Y89/H89,0)*0.00902),"")</f>
        <v>0.11726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59.66</v>
      </c>
      <c r="BN89" s="64">
        <f>IFERROR(Y89*I89/H89,"0")</f>
        <v>61.230000000000004</v>
      </c>
      <c r="BO89" s="64">
        <f>IFERROR(1/J89*(X89/H89),"0")</f>
        <v>9.5959595959595953E-2</v>
      </c>
      <c r="BP89" s="64">
        <f>IFERROR(1/J89*(Y89/H89),"0")</f>
        <v>9.8484848484848481E-2</v>
      </c>
    </row>
    <row r="90" spans="1:68" x14ac:dyDescent="0.2">
      <c r="A90" s="670"/>
      <c r="B90" s="671"/>
      <c r="C90" s="671"/>
      <c r="D90" s="671"/>
      <c r="E90" s="671"/>
      <c r="F90" s="671"/>
      <c r="G90" s="671"/>
      <c r="H90" s="671"/>
      <c r="I90" s="671"/>
      <c r="J90" s="671"/>
      <c r="K90" s="671"/>
      <c r="L90" s="671"/>
      <c r="M90" s="671"/>
      <c r="N90" s="671"/>
      <c r="O90" s="672"/>
      <c r="P90" s="678" t="s">
        <v>87</v>
      </c>
      <c r="Q90" s="668"/>
      <c r="R90" s="668"/>
      <c r="S90" s="668"/>
      <c r="T90" s="668"/>
      <c r="U90" s="668"/>
      <c r="V90" s="669"/>
      <c r="W90" s="37" t="s">
        <v>88</v>
      </c>
      <c r="X90" s="665">
        <f>IFERROR(X87/H87,"0")+IFERROR(X88/H88,"0")+IFERROR(X89/H89,"0")</f>
        <v>12.666666666666666</v>
      </c>
      <c r="Y90" s="665">
        <f>IFERROR(Y87/H87,"0")+IFERROR(Y88/H88,"0")+IFERROR(Y89/H89,"0")</f>
        <v>13</v>
      </c>
      <c r="Z90" s="665">
        <f>IFERROR(IF(Z87="",0,Z87),"0")+IFERROR(IF(Z88="",0,Z88),"0")+IFERROR(IF(Z89="",0,Z89),"0")</f>
        <v>0.11726</v>
      </c>
      <c r="AA90" s="666"/>
      <c r="AB90" s="666"/>
      <c r="AC90" s="666"/>
    </row>
    <row r="91" spans="1:68" x14ac:dyDescent="0.2">
      <c r="A91" s="671"/>
      <c r="B91" s="671"/>
      <c r="C91" s="671"/>
      <c r="D91" s="671"/>
      <c r="E91" s="671"/>
      <c r="F91" s="671"/>
      <c r="G91" s="671"/>
      <c r="H91" s="671"/>
      <c r="I91" s="671"/>
      <c r="J91" s="671"/>
      <c r="K91" s="671"/>
      <c r="L91" s="671"/>
      <c r="M91" s="671"/>
      <c r="N91" s="671"/>
      <c r="O91" s="672"/>
      <c r="P91" s="678" t="s">
        <v>87</v>
      </c>
      <c r="Q91" s="668"/>
      <c r="R91" s="668"/>
      <c r="S91" s="668"/>
      <c r="T91" s="668"/>
      <c r="U91" s="668"/>
      <c r="V91" s="669"/>
      <c r="W91" s="37" t="s">
        <v>68</v>
      </c>
      <c r="X91" s="665">
        <f>IFERROR(SUM(X87:X89),"0")</f>
        <v>57</v>
      </c>
      <c r="Y91" s="665">
        <f>IFERROR(SUM(Y87:Y89),"0")</f>
        <v>58.5</v>
      </c>
      <c r="Z91" s="37"/>
      <c r="AA91" s="666"/>
      <c r="AB91" s="666"/>
      <c r="AC91" s="666"/>
    </row>
    <row r="92" spans="1:68" ht="14.25" customHeight="1" x14ac:dyDescent="0.25">
      <c r="A92" s="680" t="s">
        <v>63</v>
      </c>
      <c r="B92" s="671"/>
      <c r="C92" s="671"/>
      <c r="D92" s="671"/>
      <c r="E92" s="671"/>
      <c r="F92" s="671"/>
      <c r="G92" s="671"/>
      <c r="H92" s="671"/>
      <c r="I92" s="671"/>
      <c r="J92" s="671"/>
      <c r="K92" s="671"/>
      <c r="L92" s="671"/>
      <c r="M92" s="671"/>
      <c r="N92" s="671"/>
      <c r="O92" s="671"/>
      <c r="P92" s="671"/>
      <c r="Q92" s="671"/>
      <c r="R92" s="671"/>
      <c r="S92" s="671"/>
      <c r="T92" s="671"/>
      <c r="U92" s="671"/>
      <c r="V92" s="671"/>
      <c r="W92" s="671"/>
      <c r="X92" s="671"/>
      <c r="Y92" s="671"/>
      <c r="Z92" s="671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76">
        <v>4607091386967</v>
      </c>
      <c r="E93" s="677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711" t="s">
        <v>189</v>
      </c>
      <c r="Q93" s="682"/>
      <c r="R93" s="682"/>
      <c r="S93" s="682"/>
      <c r="T93" s="683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76">
        <v>4607091386967</v>
      </c>
      <c r="E94" s="677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1009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82"/>
      <c r="R94" s="682"/>
      <c r="S94" s="682"/>
      <c r="T94" s="683"/>
      <c r="U94" s="34"/>
      <c r="V94" s="34"/>
      <c r="W94" s="35" t="s">
        <v>68</v>
      </c>
      <c r="X94" s="663">
        <v>185</v>
      </c>
      <c r="Y94" s="664">
        <f t="shared" si="16"/>
        <v>193.20000000000002</v>
      </c>
      <c r="Z94" s="36">
        <f>IFERROR(IF(Y94=0,"",ROUNDUP(Y94/H94,0)*0.01898),"")</f>
        <v>0.43653999999999998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196.43035714285713</v>
      </c>
      <c r="BN94" s="64">
        <f t="shared" si="18"/>
        <v>205.13700000000003</v>
      </c>
      <c r="BO94" s="64">
        <f t="shared" si="19"/>
        <v>0.34412202380952378</v>
      </c>
      <c r="BP94" s="64">
        <f t="shared" si="20"/>
        <v>0.359375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76">
        <v>4607091386967</v>
      </c>
      <c r="E95" s="677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102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82"/>
      <c r="R95" s="682"/>
      <c r="S95" s="682"/>
      <c r="T95" s="683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6">
        <v>4680115884953</v>
      </c>
      <c r="E96" s="677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26" t="s">
        <v>196</v>
      </c>
      <c r="Q96" s="682"/>
      <c r="R96" s="682"/>
      <c r="S96" s="682"/>
      <c r="T96" s="683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6">
        <v>4607091385731</v>
      </c>
      <c r="E97" s="677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978" t="s">
        <v>200</v>
      </c>
      <c r="Q97" s="682"/>
      <c r="R97" s="682"/>
      <c r="S97" s="682"/>
      <c r="T97" s="683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6">
        <v>4607091385731</v>
      </c>
      <c r="E98" s="677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799" t="s">
        <v>202</v>
      </c>
      <c r="Q98" s="682"/>
      <c r="R98" s="682"/>
      <c r="S98" s="682"/>
      <c r="T98" s="683"/>
      <c r="U98" s="34"/>
      <c r="V98" s="34"/>
      <c r="W98" s="35" t="s">
        <v>68</v>
      </c>
      <c r="X98" s="663">
        <v>45</v>
      </c>
      <c r="Y98" s="664">
        <f t="shared" si="16"/>
        <v>45.900000000000006</v>
      </c>
      <c r="Z98" s="36">
        <f>IFERROR(IF(Y98=0,"",ROUNDUP(Y98/H98,0)*0.00651),"")</f>
        <v>0.11067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49.199999999999996</v>
      </c>
      <c r="BN98" s="64">
        <f t="shared" si="18"/>
        <v>50.183999999999997</v>
      </c>
      <c r="BO98" s="64">
        <f t="shared" si="19"/>
        <v>9.1575091575091569E-2</v>
      </c>
      <c r="BP98" s="64">
        <f t="shared" si="20"/>
        <v>9.3406593406593408E-2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6">
        <v>4680115880894</v>
      </c>
      <c r="E99" s="677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104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2"/>
      <c r="R99" s="682"/>
      <c r="S99" s="682"/>
      <c r="T99" s="683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76">
        <v>4680115880214</v>
      </c>
      <c r="E100" s="677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100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82"/>
      <c r="R100" s="682"/>
      <c r="S100" s="682"/>
      <c r="T100" s="683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76">
        <v>4680115880214</v>
      </c>
      <c r="E101" s="677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82"/>
      <c r="R101" s="682"/>
      <c r="S101" s="682"/>
      <c r="T101" s="683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0"/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2"/>
      <c r="P102" s="678" t="s">
        <v>87</v>
      </c>
      <c r="Q102" s="668"/>
      <c r="R102" s="668"/>
      <c r="S102" s="668"/>
      <c r="T102" s="668"/>
      <c r="U102" s="668"/>
      <c r="V102" s="669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38.69047619047619</v>
      </c>
      <c r="Y102" s="665">
        <f>IFERROR(Y93/H93,"0")+IFERROR(Y94/H94,"0")+IFERROR(Y95/H95,"0")+IFERROR(Y96/H96,"0")+IFERROR(Y97/H97,"0")+IFERROR(Y98/H98,"0")+IFERROR(Y99/H99,"0")+IFERROR(Y100/H100,"0")+IFERROR(Y101/H101,"0")</f>
        <v>40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0.54720999999999997</v>
      </c>
      <c r="AA102" s="666"/>
      <c r="AB102" s="666"/>
      <c r="AC102" s="666"/>
    </row>
    <row r="103" spans="1:68" x14ac:dyDescent="0.2">
      <c r="A103" s="671"/>
      <c r="B103" s="671"/>
      <c r="C103" s="671"/>
      <c r="D103" s="671"/>
      <c r="E103" s="671"/>
      <c r="F103" s="671"/>
      <c r="G103" s="671"/>
      <c r="H103" s="671"/>
      <c r="I103" s="671"/>
      <c r="J103" s="671"/>
      <c r="K103" s="671"/>
      <c r="L103" s="671"/>
      <c r="M103" s="671"/>
      <c r="N103" s="671"/>
      <c r="O103" s="672"/>
      <c r="P103" s="678" t="s">
        <v>87</v>
      </c>
      <c r="Q103" s="668"/>
      <c r="R103" s="668"/>
      <c r="S103" s="668"/>
      <c r="T103" s="668"/>
      <c r="U103" s="668"/>
      <c r="V103" s="669"/>
      <c r="W103" s="37" t="s">
        <v>68</v>
      </c>
      <c r="X103" s="665">
        <f>IFERROR(SUM(X93:X101),"0")</f>
        <v>230</v>
      </c>
      <c r="Y103" s="665">
        <f>IFERROR(SUM(Y93:Y101),"0")</f>
        <v>239.10000000000002</v>
      </c>
      <c r="Z103" s="37"/>
      <c r="AA103" s="666"/>
      <c r="AB103" s="666"/>
      <c r="AC103" s="666"/>
    </row>
    <row r="104" spans="1:68" ht="16.5" customHeight="1" x14ac:dyDescent="0.25">
      <c r="A104" s="686" t="s">
        <v>209</v>
      </c>
      <c r="B104" s="671"/>
      <c r="C104" s="671"/>
      <c r="D104" s="671"/>
      <c r="E104" s="671"/>
      <c r="F104" s="671"/>
      <c r="G104" s="671"/>
      <c r="H104" s="671"/>
      <c r="I104" s="671"/>
      <c r="J104" s="671"/>
      <c r="K104" s="671"/>
      <c r="L104" s="671"/>
      <c r="M104" s="671"/>
      <c r="N104" s="671"/>
      <c r="O104" s="671"/>
      <c r="P104" s="671"/>
      <c r="Q104" s="671"/>
      <c r="R104" s="671"/>
      <c r="S104" s="671"/>
      <c r="T104" s="671"/>
      <c r="U104" s="671"/>
      <c r="V104" s="671"/>
      <c r="W104" s="671"/>
      <c r="X104" s="671"/>
      <c r="Y104" s="671"/>
      <c r="Z104" s="671"/>
      <c r="AA104" s="658"/>
      <c r="AB104" s="658"/>
      <c r="AC104" s="658"/>
    </row>
    <row r="105" spans="1:68" ht="14.25" customHeight="1" x14ac:dyDescent="0.25">
      <c r="A105" s="680" t="s">
        <v>97</v>
      </c>
      <c r="B105" s="671"/>
      <c r="C105" s="671"/>
      <c r="D105" s="671"/>
      <c r="E105" s="671"/>
      <c r="F105" s="671"/>
      <c r="G105" s="671"/>
      <c r="H105" s="671"/>
      <c r="I105" s="671"/>
      <c r="J105" s="671"/>
      <c r="K105" s="671"/>
      <c r="L105" s="671"/>
      <c r="M105" s="671"/>
      <c r="N105" s="671"/>
      <c r="O105" s="671"/>
      <c r="P105" s="671"/>
      <c r="Q105" s="671"/>
      <c r="R105" s="671"/>
      <c r="S105" s="671"/>
      <c r="T105" s="671"/>
      <c r="U105" s="671"/>
      <c r="V105" s="671"/>
      <c r="W105" s="671"/>
      <c r="X105" s="671"/>
      <c r="Y105" s="671"/>
      <c r="Z105" s="671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6">
        <v>4680115882133</v>
      </c>
      <c r="E106" s="677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8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2"/>
      <c r="R106" s="682"/>
      <c r="S106" s="682"/>
      <c r="T106" s="683"/>
      <c r="U106" s="34"/>
      <c r="V106" s="34"/>
      <c r="W106" s="35" t="s">
        <v>68</v>
      </c>
      <c r="X106" s="663">
        <v>245</v>
      </c>
      <c r="Y106" s="664">
        <f>IFERROR(IF(X106="",0,CEILING((X106/$H106),1)*$H106),"")</f>
        <v>248.4</v>
      </c>
      <c r="Z106" s="36">
        <f>IFERROR(IF(Y106=0,"",ROUNDUP(Y106/H106,0)*0.01898),"")</f>
        <v>0.43653999999999998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254.86805555555551</v>
      </c>
      <c r="BN106" s="64">
        <f>IFERROR(Y106*I106/H106,"0")</f>
        <v>258.40499999999997</v>
      </c>
      <c r="BO106" s="64">
        <f>IFERROR(1/J106*(X106/H106),"0")</f>
        <v>0.35445601851851849</v>
      </c>
      <c r="BP106" s="64">
        <f>IFERROR(1/J106*(Y106/H106),"0")</f>
        <v>0.359375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6">
        <v>4680115880269</v>
      </c>
      <c r="E107" s="677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7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2"/>
      <c r="R107" s="682"/>
      <c r="S107" s="682"/>
      <c r="T107" s="683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6">
        <v>4680115880429</v>
      </c>
      <c r="E108" s="677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8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2"/>
      <c r="R108" s="682"/>
      <c r="S108" s="682"/>
      <c r="T108" s="683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6">
        <v>4680115881457</v>
      </c>
      <c r="E109" s="677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8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2"/>
      <c r="R109" s="682"/>
      <c r="S109" s="682"/>
      <c r="T109" s="683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0"/>
      <c r="B110" s="671"/>
      <c r="C110" s="671"/>
      <c r="D110" s="671"/>
      <c r="E110" s="671"/>
      <c r="F110" s="671"/>
      <c r="G110" s="671"/>
      <c r="H110" s="671"/>
      <c r="I110" s="671"/>
      <c r="J110" s="671"/>
      <c r="K110" s="671"/>
      <c r="L110" s="671"/>
      <c r="M110" s="671"/>
      <c r="N110" s="671"/>
      <c r="O110" s="672"/>
      <c r="P110" s="678" t="s">
        <v>87</v>
      </c>
      <c r="Q110" s="668"/>
      <c r="R110" s="668"/>
      <c r="S110" s="668"/>
      <c r="T110" s="668"/>
      <c r="U110" s="668"/>
      <c r="V110" s="669"/>
      <c r="W110" s="37" t="s">
        <v>88</v>
      </c>
      <c r="X110" s="665">
        <f>IFERROR(X106/H106,"0")+IFERROR(X107/H107,"0")+IFERROR(X108/H108,"0")+IFERROR(X109/H109,"0")</f>
        <v>22.685185185185183</v>
      </c>
      <c r="Y110" s="665">
        <f>IFERROR(Y106/H106,"0")+IFERROR(Y107/H107,"0")+IFERROR(Y108/H108,"0")+IFERROR(Y109/H109,"0")</f>
        <v>23</v>
      </c>
      <c r="Z110" s="665">
        <f>IFERROR(IF(Z106="",0,Z106),"0")+IFERROR(IF(Z107="",0,Z107),"0")+IFERROR(IF(Z108="",0,Z108),"0")+IFERROR(IF(Z109="",0,Z109),"0")</f>
        <v>0.43653999999999998</v>
      </c>
      <c r="AA110" s="666"/>
      <c r="AB110" s="666"/>
      <c r="AC110" s="666"/>
    </row>
    <row r="111" spans="1:68" x14ac:dyDescent="0.2">
      <c r="A111" s="671"/>
      <c r="B111" s="671"/>
      <c r="C111" s="671"/>
      <c r="D111" s="671"/>
      <c r="E111" s="671"/>
      <c r="F111" s="671"/>
      <c r="G111" s="671"/>
      <c r="H111" s="671"/>
      <c r="I111" s="671"/>
      <c r="J111" s="671"/>
      <c r="K111" s="671"/>
      <c r="L111" s="671"/>
      <c r="M111" s="671"/>
      <c r="N111" s="671"/>
      <c r="O111" s="672"/>
      <c r="P111" s="678" t="s">
        <v>87</v>
      </c>
      <c r="Q111" s="668"/>
      <c r="R111" s="668"/>
      <c r="S111" s="668"/>
      <c r="T111" s="668"/>
      <c r="U111" s="668"/>
      <c r="V111" s="669"/>
      <c r="W111" s="37" t="s">
        <v>68</v>
      </c>
      <c r="X111" s="665">
        <f>IFERROR(SUM(X106:X109),"0")</f>
        <v>245</v>
      </c>
      <c r="Y111" s="665">
        <f>IFERROR(SUM(Y106:Y109),"0")</f>
        <v>248.4</v>
      </c>
      <c r="Z111" s="37"/>
      <c r="AA111" s="666"/>
      <c r="AB111" s="666"/>
      <c r="AC111" s="666"/>
    </row>
    <row r="112" spans="1:68" ht="14.25" customHeight="1" x14ac:dyDescent="0.25">
      <c r="A112" s="680" t="s">
        <v>133</v>
      </c>
      <c r="B112" s="671"/>
      <c r="C112" s="671"/>
      <c r="D112" s="671"/>
      <c r="E112" s="671"/>
      <c r="F112" s="671"/>
      <c r="G112" s="671"/>
      <c r="H112" s="671"/>
      <c r="I112" s="671"/>
      <c r="J112" s="671"/>
      <c r="K112" s="671"/>
      <c r="L112" s="671"/>
      <c r="M112" s="671"/>
      <c r="N112" s="671"/>
      <c r="O112" s="671"/>
      <c r="P112" s="671"/>
      <c r="Q112" s="671"/>
      <c r="R112" s="671"/>
      <c r="S112" s="671"/>
      <c r="T112" s="671"/>
      <c r="U112" s="671"/>
      <c r="V112" s="671"/>
      <c r="W112" s="671"/>
      <c r="X112" s="671"/>
      <c r="Y112" s="671"/>
      <c r="Z112" s="671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6">
        <v>4680115881488</v>
      </c>
      <c r="E113" s="677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95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2"/>
      <c r="R113" s="682"/>
      <c r="S113" s="682"/>
      <c r="T113" s="683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6">
        <v>4680115882775</v>
      </c>
      <c r="E114" s="677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2"/>
      <c r="R114" s="682"/>
      <c r="S114" s="682"/>
      <c r="T114" s="683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6">
        <v>4680115880658</v>
      </c>
      <c r="E115" s="677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6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2"/>
      <c r="R115" s="682"/>
      <c r="S115" s="682"/>
      <c r="T115" s="683"/>
      <c r="U115" s="34"/>
      <c r="V115" s="34"/>
      <c r="W115" s="35" t="s">
        <v>68</v>
      </c>
      <c r="X115" s="663">
        <v>13</v>
      </c>
      <c r="Y115" s="664">
        <f>IFERROR(IF(X115="",0,CEILING((X115/$H115),1)*$H115),"")</f>
        <v>14.399999999999999</v>
      </c>
      <c r="Z115" s="36">
        <f>IFERROR(IF(Y115=0,"",ROUNDUP(Y115/H115,0)*0.00651),"")</f>
        <v>3.9059999999999997E-2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13.975</v>
      </c>
      <c r="BN115" s="64">
        <f>IFERROR(Y115*I115/H115,"0")</f>
        <v>15.479999999999999</v>
      </c>
      <c r="BO115" s="64">
        <f>IFERROR(1/J115*(X115/H115),"0")</f>
        <v>2.9761904761904767E-2</v>
      </c>
      <c r="BP115" s="64">
        <f>IFERROR(1/J115*(Y115/H115),"0")</f>
        <v>3.2967032967032968E-2</v>
      </c>
    </row>
    <row r="116" spans="1:68" x14ac:dyDescent="0.2">
      <c r="A116" s="670"/>
      <c r="B116" s="671"/>
      <c r="C116" s="671"/>
      <c r="D116" s="671"/>
      <c r="E116" s="671"/>
      <c r="F116" s="671"/>
      <c r="G116" s="671"/>
      <c r="H116" s="671"/>
      <c r="I116" s="671"/>
      <c r="J116" s="671"/>
      <c r="K116" s="671"/>
      <c r="L116" s="671"/>
      <c r="M116" s="671"/>
      <c r="N116" s="671"/>
      <c r="O116" s="672"/>
      <c r="P116" s="678" t="s">
        <v>87</v>
      </c>
      <c r="Q116" s="668"/>
      <c r="R116" s="668"/>
      <c r="S116" s="668"/>
      <c r="T116" s="668"/>
      <c r="U116" s="668"/>
      <c r="V116" s="669"/>
      <c r="W116" s="37" t="s">
        <v>88</v>
      </c>
      <c r="X116" s="665">
        <f>IFERROR(X113/H113,"0")+IFERROR(X114/H114,"0")+IFERROR(X115/H115,"0")</f>
        <v>5.416666666666667</v>
      </c>
      <c r="Y116" s="665">
        <f>IFERROR(Y113/H113,"0")+IFERROR(Y114/H114,"0")+IFERROR(Y115/H115,"0")</f>
        <v>6</v>
      </c>
      <c r="Z116" s="665">
        <f>IFERROR(IF(Z113="",0,Z113),"0")+IFERROR(IF(Z114="",0,Z114),"0")+IFERROR(IF(Z115="",0,Z115),"0")</f>
        <v>3.9059999999999997E-2</v>
      </c>
      <c r="AA116" s="666"/>
      <c r="AB116" s="666"/>
      <c r="AC116" s="666"/>
    </row>
    <row r="117" spans="1:68" x14ac:dyDescent="0.2">
      <c r="A117" s="671"/>
      <c r="B117" s="671"/>
      <c r="C117" s="671"/>
      <c r="D117" s="671"/>
      <c r="E117" s="671"/>
      <c r="F117" s="671"/>
      <c r="G117" s="671"/>
      <c r="H117" s="671"/>
      <c r="I117" s="671"/>
      <c r="J117" s="671"/>
      <c r="K117" s="671"/>
      <c r="L117" s="671"/>
      <c r="M117" s="671"/>
      <c r="N117" s="671"/>
      <c r="O117" s="672"/>
      <c r="P117" s="678" t="s">
        <v>87</v>
      </c>
      <c r="Q117" s="668"/>
      <c r="R117" s="668"/>
      <c r="S117" s="668"/>
      <c r="T117" s="668"/>
      <c r="U117" s="668"/>
      <c r="V117" s="669"/>
      <c r="W117" s="37" t="s">
        <v>68</v>
      </c>
      <c r="X117" s="665">
        <f>IFERROR(SUM(X113:X115),"0")</f>
        <v>13</v>
      </c>
      <c r="Y117" s="665">
        <f>IFERROR(SUM(Y113:Y115),"0")</f>
        <v>14.399999999999999</v>
      </c>
      <c r="Z117" s="37"/>
      <c r="AA117" s="666"/>
      <c r="AB117" s="666"/>
      <c r="AC117" s="666"/>
    </row>
    <row r="118" spans="1:68" ht="14.25" customHeight="1" x14ac:dyDescent="0.25">
      <c r="A118" s="680" t="s">
        <v>63</v>
      </c>
      <c r="B118" s="671"/>
      <c r="C118" s="671"/>
      <c r="D118" s="671"/>
      <c r="E118" s="671"/>
      <c r="F118" s="671"/>
      <c r="G118" s="671"/>
      <c r="H118" s="671"/>
      <c r="I118" s="671"/>
      <c r="J118" s="671"/>
      <c r="K118" s="671"/>
      <c r="L118" s="671"/>
      <c r="M118" s="671"/>
      <c r="N118" s="671"/>
      <c r="O118" s="671"/>
      <c r="P118" s="671"/>
      <c r="Q118" s="671"/>
      <c r="R118" s="671"/>
      <c r="S118" s="671"/>
      <c r="T118" s="671"/>
      <c r="U118" s="671"/>
      <c r="V118" s="671"/>
      <c r="W118" s="671"/>
      <c r="X118" s="671"/>
      <c r="Y118" s="671"/>
      <c r="Z118" s="671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76">
        <v>4607091385168</v>
      </c>
      <c r="E119" s="677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945" t="s">
        <v>228</v>
      </c>
      <c r="Q119" s="682"/>
      <c r="R119" s="682"/>
      <c r="S119" s="682"/>
      <c r="T119" s="683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6">
        <v>4607091385168</v>
      </c>
      <c r="E120" s="677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990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82"/>
      <c r="R120" s="682"/>
      <c r="S120" s="682"/>
      <c r="T120" s="683"/>
      <c r="U120" s="34"/>
      <c r="V120" s="34"/>
      <c r="W120" s="35" t="s">
        <v>68</v>
      </c>
      <c r="X120" s="663">
        <v>454</v>
      </c>
      <c r="Y120" s="664">
        <f t="shared" si="21"/>
        <v>462</v>
      </c>
      <c r="Z120" s="36">
        <f>IFERROR(IF(Y120=0,"",ROUNDUP(Y120/H120,0)*0.01898),"")</f>
        <v>1.0439000000000001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481.72642857142853</v>
      </c>
      <c r="BN120" s="64">
        <f t="shared" si="23"/>
        <v>490.21500000000003</v>
      </c>
      <c r="BO120" s="64">
        <f t="shared" si="24"/>
        <v>0.84449404761904756</v>
      </c>
      <c r="BP120" s="64">
        <f t="shared" si="25"/>
        <v>0.859375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76">
        <v>4607091385168</v>
      </c>
      <c r="E121" s="677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72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82"/>
      <c r="R121" s="682"/>
      <c r="S121" s="682"/>
      <c r="T121" s="683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6">
        <v>4607091383256</v>
      </c>
      <c r="E122" s="677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914" t="s">
        <v>236</v>
      </c>
      <c r="Q122" s="682"/>
      <c r="R122" s="682"/>
      <c r="S122" s="682"/>
      <c r="T122" s="683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76">
        <v>4607091383256</v>
      </c>
      <c r="E123" s="677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73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82"/>
      <c r="R123" s="682"/>
      <c r="S123" s="682"/>
      <c r="T123" s="683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76">
        <v>4607091385748</v>
      </c>
      <c r="E124" s="677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707" t="s">
        <v>240</v>
      </c>
      <c r="Q124" s="682"/>
      <c r="R124" s="682"/>
      <c r="S124" s="682"/>
      <c r="T124" s="683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6">
        <v>4607091385748</v>
      </c>
      <c r="E125" s="677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785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82"/>
      <c r="R125" s="682"/>
      <c r="S125" s="682"/>
      <c r="T125" s="683"/>
      <c r="U125" s="34"/>
      <c r="V125" s="34"/>
      <c r="W125" s="35" t="s">
        <v>68</v>
      </c>
      <c r="X125" s="663">
        <v>212</v>
      </c>
      <c r="Y125" s="664">
        <f t="shared" si="21"/>
        <v>213.3</v>
      </c>
      <c r="Z125" s="36">
        <f t="shared" si="26"/>
        <v>0.51429000000000002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231.78666666666663</v>
      </c>
      <c r="BN125" s="64">
        <f t="shared" si="23"/>
        <v>233.208</v>
      </c>
      <c r="BO125" s="64">
        <f t="shared" si="24"/>
        <v>0.43142043142043146</v>
      </c>
      <c r="BP125" s="64">
        <f t="shared" si="25"/>
        <v>0.43406593406593408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76">
        <v>4680115884533</v>
      </c>
      <c r="E126" s="677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2"/>
      <c r="R126" s="682"/>
      <c r="S126" s="682"/>
      <c r="T126" s="683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76">
        <v>4680115882645</v>
      </c>
      <c r="E127" s="677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750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82"/>
      <c r="R127" s="682"/>
      <c r="S127" s="682"/>
      <c r="T127" s="683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0"/>
      <c r="B128" s="671"/>
      <c r="C128" s="671"/>
      <c r="D128" s="671"/>
      <c r="E128" s="671"/>
      <c r="F128" s="671"/>
      <c r="G128" s="671"/>
      <c r="H128" s="671"/>
      <c r="I128" s="671"/>
      <c r="J128" s="671"/>
      <c r="K128" s="671"/>
      <c r="L128" s="671"/>
      <c r="M128" s="671"/>
      <c r="N128" s="671"/>
      <c r="O128" s="672"/>
      <c r="P128" s="678" t="s">
        <v>87</v>
      </c>
      <c r="Q128" s="668"/>
      <c r="R128" s="668"/>
      <c r="S128" s="668"/>
      <c r="T128" s="668"/>
      <c r="U128" s="668"/>
      <c r="V128" s="669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132.56613756613757</v>
      </c>
      <c r="Y128" s="665">
        <f>IFERROR(Y119/H119,"0")+IFERROR(Y120/H120,"0")+IFERROR(Y121/H121,"0")+IFERROR(Y122/H122,"0")+IFERROR(Y123/H123,"0")+IFERROR(Y124/H124,"0")+IFERROR(Y125/H125,"0")+IFERROR(Y126/H126,"0")+IFERROR(Y127/H127,"0")</f>
        <v>134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1.5581900000000002</v>
      </c>
      <c r="AA128" s="666"/>
      <c r="AB128" s="666"/>
      <c r="AC128" s="666"/>
    </row>
    <row r="129" spans="1:68" x14ac:dyDescent="0.2">
      <c r="A129" s="671"/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2"/>
      <c r="P129" s="678" t="s">
        <v>87</v>
      </c>
      <c r="Q129" s="668"/>
      <c r="R129" s="668"/>
      <c r="S129" s="668"/>
      <c r="T129" s="668"/>
      <c r="U129" s="668"/>
      <c r="V129" s="669"/>
      <c r="W129" s="37" t="s">
        <v>68</v>
      </c>
      <c r="X129" s="665">
        <f>IFERROR(SUM(X119:X127),"0")</f>
        <v>666</v>
      </c>
      <c r="Y129" s="665">
        <f>IFERROR(SUM(Y119:Y127),"0")</f>
        <v>675.3</v>
      </c>
      <c r="Z129" s="37"/>
      <c r="AA129" s="666"/>
      <c r="AB129" s="666"/>
      <c r="AC129" s="666"/>
    </row>
    <row r="130" spans="1:68" ht="14.25" customHeight="1" x14ac:dyDescent="0.25">
      <c r="A130" s="680" t="s">
        <v>170</v>
      </c>
      <c r="B130" s="671"/>
      <c r="C130" s="671"/>
      <c r="D130" s="671"/>
      <c r="E130" s="671"/>
      <c r="F130" s="671"/>
      <c r="G130" s="671"/>
      <c r="H130" s="671"/>
      <c r="I130" s="671"/>
      <c r="J130" s="671"/>
      <c r="K130" s="671"/>
      <c r="L130" s="671"/>
      <c r="M130" s="671"/>
      <c r="N130" s="671"/>
      <c r="O130" s="671"/>
      <c r="P130" s="671"/>
      <c r="Q130" s="671"/>
      <c r="R130" s="671"/>
      <c r="S130" s="671"/>
      <c r="T130" s="671"/>
      <c r="U130" s="671"/>
      <c r="V130" s="671"/>
      <c r="W130" s="671"/>
      <c r="X130" s="671"/>
      <c r="Y130" s="671"/>
      <c r="Z130" s="671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76">
        <v>4680115882652</v>
      </c>
      <c r="E131" s="677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96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82"/>
      <c r="R131" s="682"/>
      <c r="S131" s="682"/>
      <c r="T131" s="683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76">
        <v>4680115880238</v>
      </c>
      <c r="E132" s="677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9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82"/>
      <c r="R132" s="682"/>
      <c r="S132" s="682"/>
      <c r="T132" s="683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0"/>
      <c r="B133" s="671"/>
      <c r="C133" s="671"/>
      <c r="D133" s="671"/>
      <c r="E133" s="671"/>
      <c r="F133" s="671"/>
      <c r="G133" s="671"/>
      <c r="H133" s="671"/>
      <c r="I133" s="671"/>
      <c r="J133" s="671"/>
      <c r="K133" s="671"/>
      <c r="L133" s="671"/>
      <c r="M133" s="671"/>
      <c r="N133" s="671"/>
      <c r="O133" s="672"/>
      <c r="P133" s="678" t="s">
        <v>87</v>
      </c>
      <c r="Q133" s="668"/>
      <c r="R133" s="668"/>
      <c r="S133" s="668"/>
      <c r="T133" s="668"/>
      <c r="U133" s="668"/>
      <c r="V133" s="669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1"/>
      <c r="B134" s="671"/>
      <c r="C134" s="671"/>
      <c r="D134" s="671"/>
      <c r="E134" s="671"/>
      <c r="F134" s="671"/>
      <c r="G134" s="671"/>
      <c r="H134" s="671"/>
      <c r="I134" s="671"/>
      <c r="J134" s="671"/>
      <c r="K134" s="671"/>
      <c r="L134" s="671"/>
      <c r="M134" s="671"/>
      <c r="N134" s="671"/>
      <c r="O134" s="672"/>
      <c r="P134" s="678" t="s">
        <v>87</v>
      </c>
      <c r="Q134" s="668"/>
      <c r="R134" s="668"/>
      <c r="S134" s="668"/>
      <c r="T134" s="668"/>
      <c r="U134" s="668"/>
      <c r="V134" s="669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686" t="s">
        <v>254</v>
      </c>
      <c r="B135" s="671"/>
      <c r="C135" s="671"/>
      <c r="D135" s="671"/>
      <c r="E135" s="671"/>
      <c r="F135" s="671"/>
      <c r="G135" s="671"/>
      <c r="H135" s="671"/>
      <c r="I135" s="671"/>
      <c r="J135" s="671"/>
      <c r="K135" s="671"/>
      <c r="L135" s="671"/>
      <c r="M135" s="671"/>
      <c r="N135" s="671"/>
      <c r="O135" s="671"/>
      <c r="P135" s="671"/>
      <c r="Q135" s="671"/>
      <c r="R135" s="671"/>
      <c r="S135" s="671"/>
      <c r="T135" s="671"/>
      <c r="U135" s="671"/>
      <c r="V135" s="671"/>
      <c r="W135" s="671"/>
      <c r="X135" s="671"/>
      <c r="Y135" s="671"/>
      <c r="Z135" s="671"/>
      <c r="AA135" s="658"/>
      <c r="AB135" s="658"/>
      <c r="AC135" s="658"/>
    </row>
    <row r="136" spans="1:68" ht="14.25" customHeight="1" x14ac:dyDescent="0.25">
      <c r="A136" s="680" t="s">
        <v>97</v>
      </c>
      <c r="B136" s="671"/>
      <c r="C136" s="671"/>
      <c r="D136" s="671"/>
      <c r="E136" s="671"/>
      <c r="F136" s="671"/>
      <c r="G136" s="671"/>
      <c r="H136" s="671"/>
      <c r="I136" s="671"/>
      <c r="J136" s="671"/>
      <c r="K136" s="671"/>
      <c r="L136" s="671"/>
      <c r="M136" s="671"/>
      <c r="N136" s="671"/>
      <c r="O136" s="671"/>
      <c r="P136" s="671"/>
      <c r="Q136" s="671"/>
      <c r="R136" s="671"/>
      <c r="S136" s="671"/>
      <c r="T136" s="671"/>
      <c r="U136" s="671"/>
      <c r="V136" s="671"/>
      <c r="W136" s="671"/>
      <c r="X136" s="671"/>
      <c r="Y136" s="671"/>
      <c r="Z136" s="671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76">
        <v>4680115882577</v>
      </c>
      <c r="E137" s="677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9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2"/>
      <c r="R137" s="682"/>
      <c r="S137" s="682"/>
      <c r="T137" s="683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76">
        <v>4680115882577</v>
      </c>
      <c r="E138" s="677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90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82"/>
      <c r="R138" s="682"/>
      <c r="S138" s="682"/>
      <c r="T138" s="683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0"/>
      <c r="B139" s="671"/>
      <c r="C139" s="671"/>
      <c r="D139" s="671"/>
      <c r="E139" s="671"/>
      <c r="F139" s="671"/>
      <c r="G139" s="671"/>
      <c r="H139" s="671"/>
      <c r="I139" s="671"/>
      <c r="J139" s="671"/>
      <c r="K139" s="671"/>
      <c r="L139" s="671"/>
      <c r="M139" s="671"/>
      <c r="N139" s="671"/>
      <c r="O139" s="672"/>
      <c r="P139" s="678" t="s">
        <v>87</v>
      </c>
      <c r="Q139" s="668"/>
      <c r="R139" s="668"/>
      <c r="S139" s="668"/>
      <c r="T139" s="668"/>
      <c r="U139" s="668"/>
      <c r="V139" s="669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1"/>
      <c r="B140" s="671"/>
      <c r="C140" s="671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1"/>
      <c r="O140" s="672"/>
      <c r="P140" s="678" t="s">
        <v>87</v>
      </c>
      <c r="Q140" s="668"/>
      <c r="R140" s="668"/>
      <c r="S140" s="668"/>
      <c r="T140" s="668"/>
      <c r="U140" s="668"/>
      <c r="V140" s="669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80" t="s">
        <v>144</v>
      </c>
      <c r="B141" s="671"/>
      <c r="C141" s="671"/>
      <c r="D141" s="671"/>
      <c r="E141" s="671"/>
      <c r="F141" s="671"/>
      <c r="G141" s="671"/>
      <c r="H141" s="671"/>
      <c r="I141" s="671"/>
      <c r="J141" s="671"/>
      <c r="K141" s="671"/>
      <c r="L141" s="671"/>
      <c r="M141" s="671"/>
      <c r="N141" s="671"/>
      <c r="O141" s="671"/>
      <c r="P141" s="671"/>
      <c r="Q141" s="671"/>
      <c r="R141" s="671"/>
      <c r="S141" s="671"/>
      <c r="T141" s="671"/>
      <c r="U141" s="671"/>
      <c r="V141" s="671"/>
      <c r="W141" s="671"/>
      <c r="X141" s="671"/>
      <c r="Y141" s="671"/>
      <c r="Z141" s="671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76">
        <v>4680115883444</v>
      </c>
      <c r="E142" s="677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9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2"/>
      <c r="R142" s="682"/>
      <c r="S142" s="682"/>
      <c r="T142" s="683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76">
        <v>4680115883444</v>
      </c>
      <c r="E143" s="677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82"/>
      <c r="R143" s="682"/>
      <c r="S143" s="682"/>
      <c r="T143" s="683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0"/>
      <c r="B144" s="671"/>
      <c r="C144" s="671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1"/>
      <c r="O144" s="672"/>
      <c r="P144" s="678" t="s">
        <v>87</v>
      </c>
      <c r="Q144" s="668"/>
      <c r="R144" s="668"/>
      <c r="S144" s="668"/>
      <c r="T144" s="668"/>
      <c r="U144" s="668"/>
      <c r="V144" s="669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1"/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2"/>
      <c r="P145" s="678" t="s">
        <v>87</v>
      </c>
      <c r="Q145" s="668"/>
      <c r="R145" s="668"/>
      <c r="S145" s="668"/>
      <c r="T145" s="668"/>
      <c r="U145" s="668"/>
      <c r="V145" s="669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80" t="s">
        <v>63</v>
      </c>
      <c r="B146" s="671"/>
      <c r="C146" s="671"/>
      <c r="D146" s="671"/>
      <c r="E146" s="671"/>
      <c r="F146" s="671"/>
      <c r="G146" s="671"/>
      <c r="H146" s="671"/>
      <c r="I146" s="671"/>
      <c r="J146" s="671"/>
      <c r="K146" s="671"/>
      <c r="L146" s="671"/>
      <c r="M146" s="671"/>
      <c r="N146" s="671"/>
      <c r="O146" s="671"/>
      <c r="P146" s="671"/>
      <c r="Q146" s="671"/>
      <c r="R146" s="671"/>
      <c r="S146" s="671"/>
      <c r="T146" s="671"/>
      <c r="U146" s="671"/>
      <c r="V146" s="671"/>
      <c r="W146" s="671"/>
      <c r="X146" s="671"/>
      <c r="Y146" s="671"/>
      <c r="Z146" s="671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76">
        <v>4680115882584</v>
      </c>
      <c r="E147" s="677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10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2"/>
      <c r="R147" s="682"/>
      <c r="S147" s="682"/>
      <c r="T147" s="683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76">
        <v>4680115882584</v>
      </c>
      <c r="E148" s="677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9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82"/>
      <c r="R148" s="682"/>
      <c r="S148" s="682"/>
      <c r="T148" s="683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0"/>
      <c r="B149" s="671"/>
      <c r="C149" s="671"/>
      <c r="D149" s="671"/>
      <c r="E149" s="671"/>
      <c r="F149" s="671"/>
      <c r="G149" s="671"/>
      <c r="H149" s="671"/>
      <c r="I149" s="671"/>
      <c r="J149" s="671"/>
      <c r="K149" s="671"/>
      <c r="L149" s="671"/>
      <c r="M149" s="671"/>
      <c r="N149" s="671"/>
      <c r="O149" s="672"/>
      <c r="P149" s="678" t="s">
        <v>87</v>
      </c>
      <c r="Q149" s="668"/>
      <c r="R149" s="668"/>
      <c r="S149" s="668"/>
      <c r="T149" s="668"/>
      <c r="U149" s="668"/>
      <c r="V149" s="669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1"/>
      <c r="B150" s="671"/>
      <c r="C150" s="671"/>
      <c r="D150" s="671"/>
      <c r="E150" s="671"/>
      <c r="F150" s="671"/>
      <c r="G150" s="671"/>
      <c r="H150" s="671"/>
      <c r="I150" s="671"/>
      <c r="J150" s="671"/>
      <c r="K150" s="671"/>
      <c r="L150" s="671"/>
      <c r="M150" s="671"/>
      <c r="N150" s="671"/>
      <c r="O150" s="672"/>
      <c r="P150" s="678" t="s">
        <v>87</v>
      </c>
      <c r="Q150" s="668"/>
      <c r="R150" s="668"/>
      <c r="S150" s="668"/>
      <c r="T150" s="668"/>
      <c r="U150" s="668"/>
      <c r="V150" s="669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686" t="s">
        <v>95</v>
      </c>
      <c r="B151" s="671"/>
      <c r="C151" s="671"/>
      <c r="D151" s="671"/>
      <c r="E151" s="671"/>
      <c r="F151" s="671"/>
      <c r="G151" s="671"/>
      <c r="H151" s="671"/>
      <c r="I151" s="671"/>
      <c r="J151" s="671"/>
      <c r="K151" s="671"/>
      <c r="L151" s="671"/>
      <c r="M151" s="671"/>
      <c r="N151" s="671"/>
      <c r="O151" s="671"/>
      <c r="P151" s="671"/>
      <c r="Q151" s="671"/>
      <c r="R151" s="671"/>
      <c r="S151" s="671"/>
      <c r="T151" s="671"/>
      <c r="U151" s="671"/>
      <c r="V151" s="671"/>
      <c r="W151" s="671"/>
      <c r="X151" s="671"/>
      <c r="Y151" s="671"/>
      <c r="Z151" s="671"/>
      <c r="AA151" s="658"/>
      <c r="AB151" s="658"/>
      <c r="AC151" s="658"/>
    </row>
    <row r="152" spans="1:68" ht="14.25" customHeight="1" x14ac:dyDescent="0.25">
      <c r="A152" s="680" t="s">
        <v>97</v>
      </c>
      <c r="B152" s="671"/>
      <c r="C152" s="671"/>
      <c r="D152" s="671"/>
      <c r="E152" s="671"/>
      <c r="F152" s="671"/>
      <c r="G152" s="671"/>
      <c r="H152" s="671"/>
      <c r="I152" s="671"/>
      <c r="J152" s="671"/>
      <c r="K152" s="671"/>
      <c r="L152" s="671"/>
      <c r="M152" s="671"/>
      <c r="N152" s="671"/>
      <c r="O152" s="671"/>
      <c r="P152" s="671"/>
      <c r="Q152" s="671"/>
      <c r="R152" s="671"/>
      <c r="S152" s="671"/>
      <c r="T152" s="671"/>
      <c r="U152" s="671"/>
      <c r="V152" s="671"/>
      <c r="W152" s="671"/>
      <c r="X152" s="671"/>
      <c r="Y152" s="671"/>
      <c r="Z152" s="671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76">
        <v>4607091384604</v>
      </c>
      <c r="E153" s="677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82"/>
      <c r="R153" s="682"/>
      <c r="S153" s="682"/>
      <c r="T153" s="683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0"/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2"/>
      <c r="P154" s="678" t="s">
        <v>87</v>
      </c>
      <c r="Q154" s="668"/>
      <c r="R154" s="668"/>
      <c r="S154" s="668"/>
      <c r="T154" s="668"/>
      <c r="U154" s="668"/>
      <c r="V154" s="669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1"/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72"/>
      <c r="P155" s="678" t="s">
        <v>87</v>
      </c>
      <c r="Q155" s="668"/>
      <c r="R155" s="668"/>
      <c r="S155" s="668"/>
      <c r="T155" s="668"/>
      <c r="U155" s="668"/>
      <c r="V155" s="669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80" t="s">
        <v>144</v>
      </c>
      <c r="B156" s="671"/>
      <c r="C156" s="671"/>
      <c r="D156" s="671"/>
      <c r="E156" s="671"/>
      <c r="F156" s="671"/>
      <c r="G156" s="671"/>
      <c r="H156" s="671"/>
      <c r="I156" s="671"/>
      <c r="J156" s="671"/>
      <c r="K156" s="671"/>
      <c r="L156" s="671"/>
      <c r="M156" s="671"/>
      <c r="N156" s="671"/>
      <c r="O156" s="671"/>
      <c r="P156" s="671"/>
      <c r="Q156" s="671"/>
      <c r="R156" s="671"/>
      <c r="S156" s="671"/>
      <c r="T156" s="671"/>
      <c r="U156" s="671"/>
      <c r="V156" s="671"/>
      <c r="W156" s="671"/>
      <c r="X156" s="671"/>
      <c r="Y156" s="671"/>
      <c r="Z156" s="671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76">
        <v>4607091387667</v>
      </c>
      <c r="E157" s="677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10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82"/>
      <c r="R157" s="682"/>
      <c r="S157" s="682"/>
      <c r="T157" s="683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76">
        <v>4607091387636</v>
      </c>
      <c r="E158" s="677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101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82"/>
      <c r="R158" s="682"/>
      <c r="S158" s="682"/>
      <c r="T158" s="683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76">
        <v>4607091382426</v>
      </c>
      <c r="E159" s="677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82"/>
      <c r="R159" s="682"/>
      <c r="S159" s="682"/>
      <c r="T159" s="683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76">
        <v>4607091386547</v>
      </c>
      <c r="E160" s="677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1049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82"/>
      <c r="R160" s="682"/>
      <c r="S160" s="682"/>
      <c r="T160" s="683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0"/>
      <c r="B161" s="671"/>
      <c r="C161" s="671"/>
      <c r="D161" s="671"/>
      <c r="E161" s="671"/>
      <c r="F161" s="671"/>
      <c r="G161" s="671"/>
      <c r="H161" s="671"/>
      <c r="I161" s="671"/>
      <c r="J161" s="671"/>
      <c r="K161" s="671"/>
      <c r="L161" s="671"/>
      <c r="M161" s="671"/>
      <c r="N161" s="671"/>
      <c r="O161" s="672"/>
      <c r="P161" s="678" t="s">
        <v>87</v>
      </c>
      <c r="Q161" s="668"/>
      <c r="R161" s="668"/>
      <c r="S161" s="668"/>
      <c r="T161" s="668"/>
      <c r="U161" s="668"/>
      <c r="V161" s="669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1"/>
      <c r="B162" s="671"/>
      <c r="C162" s="671"/>
      <c r="D162" s="671"/>
      <c r="E162" s="671"/>
      <c r="F162" s="671"/>
      <c r="G162" s="671"/>
      <c r="H162" s="671"/>
      <c r="I162" s="671"/>
      <c r="J162" s="671"/>
      <c r="K162" s="671"/>
      <c r="L162" s="671"/>
      <c r="M162" s="671"/>
      <c r="N162" s="671"/>
      <c r="O162" s="672"/>
      <c r="P162" s="678" t="s">
        <v>87</v>
      </c>
      <c r="Q162" s="668"/>
      <c r="R162" s="668"/>
      <c r="S162" s="668"/>
      <c r="T162" s="668"/>
      <c r="U162" s="668"/>
      <c r="V162" s="669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80" t="s">
        <v>63</v>
      </c>
      <c r="B163" s="671"/>
      <c r="C163" s="671"/>
      <c r="D163" s="671"/>
      <c r="E163" s="671"/>
      <c r="F163" s="671"/>
      <c r="G163" s="671"/>
      <c r="H163" s="671"/>
      <c r="I163" s="671"/>
      <c r="J163" s="671"/>
      <c r="K163" s="671"/>
      <c r="L163" s="671"/>
      <c r="M163" s="671"/>
      <c r="N163" s="671"/>
      <c r="O163" s="671"/>
      <c r="P163" s="671"/>
      <c r="Q163" s="671"/>
      <c r="R163" s="671"/>
      <c r="S163" s="671"/>
      <c r="T163" s="671"/>
      <c r="U163" s="671"/>
      <c r="V163" s="671"/>
      <c r="W163" s="671"/>
      <c r="X163" s="671"/>
      <c r="Y163" s="671"/>
      <c r="Z163" s="671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76">
        <v>4607091386264</v>
      </c>
      <c r="E164" s="677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78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82"/>
      <c r="R164" s="682"/>
      <c r="S164" s="682"/>
      <c r="T164" s="683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0"/>
      <c r="B165" s="671"/>
      <c r="C165" s="671"/>
      <c r="D165" s="671"/>
      <c r="E165" s="671"/>
      <c r="F165" s="671"/>
      <c r="G165" s="671"/>
      <c r="H165" s="671"/>
      <c r="I165" s="671"/>
      <c r="J165" s="671"/>
      <c r="K165" s="671"/>
      <c r="L165" s="671"/>
      <c r="M165" s="671"/>
      <c r="N165" s="671"/>
      <c r="O165" s="672"/>
      <c r="P165" s="678" t="s">
        <v>87</v>
      </c>
      <c r="Q165" s="668"/>
      <c r="R165" s="668"/>
      <c r="S165" s="668"/>
      <c r="T165" s="668"/>
      <c r="U165" s="668"/>
      <c r="V165" s="669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1"/>
      <c r="B166" s="671"/>
      <c r="C166" s="671"/>
      <c r="D166" s="671"/>
      <c r="E166" s="671"/>
      <c r="F166" s="671"/>
      <c r="G166" s="671"/>
      <c r="H166" s="671"/>
      <c r="I166" s="671"/>
      <c r="J166" s="671"/>
      <c r="K166" s="671"/>
      <c r="L166" s="671"/>
      <c r="M166" s="671"/>
      <c r="N166" s="671"/>
      <c r="O166" s="672"/>
      <c r="P166" s="678" t="s">
        <v>87</v>
      </c>
      <c r="Q166" s="668"/>
      <c r="R166" s="668"/>
      <c r="S166" s="668"/>
      <c r="T166" s="668"/>
      <c r="U166" s="668"/>
      <c r="V166" s="669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790" t="s">
        <v>283</v>
      </c>
      <c r="B167" s="791"/>
      <c r="C167" s="791"/>
      <c r="D167" s="791"/>
      <c r="E167" s="791"/>
      <c r="F167" s="791"/>
      <c r="G167" s="791"/>
      <c r="H167" s="791"/>
      <c r="I167" s="791"/>
      <c r="J167" s="791"/>
      <c r="K167" s="791"/>
      <c r="L167" s="791"/>
      <c r="M167" s="791"/>
      <c r="N167" s="791"/>
      <c r="O167" s="791"/>
      <c r="P167" s="791"/>
      <c r="Q167" s="791"/>
      <c r="R167" s="791"/>
      <c r="S167" s="791"/>
      <c r="T167" s="791"/>
      <c r="U167" s="791"/>
      <c r="V167" s="791"/>
      <c r="W167" s="791"/>
      <c r="X167" s="791"/>
      <c r="Y167" s="791"/>
      <c r="Z167" s="791"/>
      <c r="AA167" s="48"/>
      <c r="AB167" s="48"/>
      <c r="AC167" s="48"/>
    </row>
    <row r="168" spans="1:68" ht="16.5" customHeight="1" x14ac:dyDescent="0.25">
      <c r="A168" s="686" t="s">
        <v>284</v>
      </c>
      <c r="B168" s="671"/>
      <c r="C168" s="671"/>
      <c r="D168" s="671"/>
      <c r="E168" s="671"/>
      <c r="F168" s="671"/>
      <c r="G168" s="671"/>
      <c r="H168" s="671"/>
      <c r="I168" s="671"/>
      <c r="J168" s="671"/>
      <c r="K168" s="671"/>
      <c r="L168" s="671"/>
      <c r="M168" s="671"/>
      <c r="N168" s="671"/>
      <c r="O168" s="671"/>
      <c r="P168" s="671"/>
      <c r="Q168" s="671"/>
      <c r="R168" s="671"/>
      <c r="S168" s="671"/>
      <c r="T168" s="671"/>
      <c r="U168" s="671"/>
      <c r="V168" s="671"/>
      <c r="W168" s="671"/>
      <c r="X168" s="671"/>
      <c r="Y168" s="671"/>
      <c r="Z168" s="671"/>
      <c r="AA168" s="658"/>
      <c r="AB168" s="658"/>
      <c r="AC168" s="658"/>
    </row>
    <row r="169" spans="1:68" ht="14.25" customHeight="1" x14ac:dyDescent="0.25">
      <c r="A169" s="680" t="s">
        <v>133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76">
        <v>4680115886223</v>
      </c>
      <c r="E170" s="677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10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2"/>
      <c r="R170" s="682"/>
      <c r="S170" s="682"/>
      <c r="T170" s="683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0"/>
      <c r="B171" s="671"/>
      <c r="C171" s="671"/>
      <c r="D171" s="671"/>
      <c r="E171" s="671"/>
      <c r="F171" s="671"/>
      <c r="G171" s="671"/>
      <c r="H171" s="671"/>
      <c r="I171" s="671"/>
      <c r="J171" s="671"/>
      <c r="K171" s="671"/>
      <c r="L171" s="671"/>
      <c r="M171" s="671"/>
      <c r="N171" s="671"/>
      <c r="O171" s="672"/>
      <c r="P171" s="678" t="s">
        <v>87</v>
      </c>
      <c r="Q171" s="668"/>
      <c r="R171" s="668"/>
      <c r="S171" s="668"/>
      <c r="T171" s="668"/>
      <c r="U171" s="668"/>
      <c r="V171" s="669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1"/>
      <c r="B172" s="671"/>
      <c r="C172" s="671"/>
      <c r="D172" s="671"/>
      <c r="E172" s="671"/>
      <c r="F172" s="671"/>
      <c r="G172" s="671"/>
      <c r="H172" s="671"/>
      <c r="I172" s="671"/>
      <c r="J172" s="671"/>
      <c r="K172" s="671"/>
      <c r="L172" s="671"/>
      <c r="M172" s="671"/>
      <c r="N172" s="671"/>
      <c r="O172" s="672"/>
      <c r="P172" s="678" t="s">
        <v>87</v>
      </c>
      <c r="Q172" s="668"/>
      <c r="R172" s="668"/>
      <c r="S172" s="668"/>
      <c r="T172" s="668"/>
      <c r="U172" s="668"/>
      <c r="V172" s="669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80" t="s">
        <v>144</v>
      </c>
      <c r="B173" s="671"/>
      <c r="C173" s="671"/>
      <c r="D173" s="671"/>
      <c r="E173" s="671"/>
      <c r="F173" s="671"/>
      <c r="G173" s="671"/>
      <c r="H173" s="671"/>
      <c r="I173" s="671"/>
      <c r="J173" s="671"/>
      <c r="K173" s="671"/>
      <c r="L173" s="671"/>
      <c r="M173" s="671"/>
      <c r="N173" s="671"/>
      <c r="O173" s="671"/>
      <c r="P173" s="671"/>
      <c r="Q173" s="671"/>
      <c r="R173" s="671"/>
      <c r="S173" s="671"/>
      <c r="T173" s="671"/>
      <c r="U173" s="671"/>
      <c r="V173" s="671"/>
      <c r="W173" s="671"/>
      <c r="X173" s="671"/>
      <c r="Y173" s="671"/>
      <c r="Z173" s="671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76">
        <v>4680115880993</v>
      </c>
      <c r="E174" s="677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2"/>
      <c r="R174" s="682"/>
      <c r="S174" s="682"/>
      <c r="T174" s="683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76">
        <v>4680115881761</v>
      </c>
      <c r="E175" s="677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2"/>
      <c r="R175" s="682"/>
      <c r="S175" s="682"/>
      <c r="T175" s="683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6">
        <v>4680115881563</v>
      </c>
      <c r="E176" s="677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7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2"/>
      <c r="R176" s="682"/>
      <c r="S176" s="682"/>
      <c r="T176" s="683"/>
      <c r="U176" s="34"/>
      <c r="V176" s="34"/>
      <c r="W176" s="35" t="s">
        <v>68</v>
      </c>
      <c r="X176" s="663">
        <v>73</v>
      </c>
      <c r="Y176" s="664">
        <f t="shared" si="27"/>
        <v>75.600000000000009</v>
      </c>
      <c r="Z176" s="36">
        <f>IFERROR(IF(Y176=0,"",ROUNDUP(Y176/H176,0)*0.00902),"")</f>
        <v>0.16236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76.649999999999991</v>
      </c>
      <c r="BN176" s="64">
        <f t="shared" si="29"/>
        <v>79.38000000000001</v>
      </c>
      <c r="BO176" s="64">
        <f t="shared" si="30"/>
        <v>0.13167388167388167</v>
      </c>
      <c r="BP176" s="64">
        <f t="shared" si="31"/>
        <v>0.13636363636363635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76">
        <v>4680115880986</v>
      </c>
      <c r="E177" s="677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2"/>
      <c r="R177" s="682"/>
      <c r="S177" s="682"/>
      <c r="T177" s="683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76">
        <v>4680115881785</v>
      </c>
      <c r="E178" s="677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2"/>
      <c r="R178" s="682"/>
      <c r="S178" s="682"/>
      <c r="T178" s="683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76">
        <v>4680115886537</v>
      </c>
      <c r="E179" s="677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68" t="s">
        <v>303</v>
      </c>
      <c r="Q179" s="682"/>
      <c r="R179" s="682"/>
      <c r="S179" s="682"/>
      <c r="T179" s="683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76">
        <v>4680115881679</v>
      </c>
      <c r="E180" s="677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9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2"/>
      <c r="R180" s="682"/>
      <c r="S180" s="682"/>
      <c r="T180" s="683"/>
      <c r="U180" s="34"/>
      <c r="V180" s="34"/>
      <c r="W180" s="35" t="s">
        <v>68</v>
      </c>
      <c r="X180" s="663">
        <v>65</v>
      </c>
      <c r="Y180" s="664">
        <f t="shared" si="27"/>
        <v>65.100000000000009</v>
      </c>
      <c r="Z180" s="36">
        <f>IFERROR(IF(Y180=0,"",ROUNDUP(Y180/H180,0)*0.00502),"")</f>
        <v>0.15562000000000001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68.095238095238088</v>
      </c>
      <c r="BN180" s="64">
        <f t="shared" si="29"/>
        <v>68.200000000000017</v>
      </c>
      <c r="BO180" s="64">
        <f t="shared" si="30"/>
        <v>0.1322751322751323</v>
      </c>
      <c r="BP180" s="64">
        <f t="shared" si="31"/>
        <v>0.13247863247863251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76">
        <v>4680115880191</v>
      </c>
      <c r="E181" s="677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7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2"/>
      <c r="R181" s="682"/>
      <c r="S181" s="682"/>
      <c r="T181" s="683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76">
        <v>4680115883963</v>
      </c>
      <c r="E182" s="677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9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2"/>
      <c r="R182" s="682"/>
      <c r="S182" s="682"/>
      <c r="T182" s="683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0"/>
      <c r="B183" s="671"/>
      <c r="C183" s="671"/>
      <c r="D183" s="671"/>
      <c r="E183" s="671"/>
      <c r="F183" s="671"/>
      <c r="G183" s="671"/>
      <c r="H183" s="671"/>
      <c r="I183" s="671"/>
      <c r="J183" s="671"/>
      <c r="K183" s="671"/>
      <c r="L183" s="671"/>
      <c r="M183" s="671"/>
      <c r="N183" s="671"/>
      <c r="O183" s="672"/>
      <c r="P183" s="678" t="s">
        <v>87</v>
      </c>
      <c r="Q183" s="668"/>
      <c r="R183" s="668"/>
      <c r="S183" s="668"/>
      <c r="T183" s="668"/>
      <c r="U183" s="668"/>
      <c r="V183" s="669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48.333333333333329</v>
      </c>
      <c r="Y183" s="665">
        <f>IFERROR(Y174/H174,"0")+IFERROR(Y175/H175,"0")+IFERROR(Y176/H176,"0")+IFERROR(Y177/H177,"0")+IFERROR(Y178/H178,"0")+IFERROR(Y179/H179,"0")+IFERROR(Y180/H180,"0")+IFERROR(Y181/H181,"0")+IFERROR(Y182/H182,"0")</f>
        <v>49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0.31798000000000004</v>
      </c>
      <c r="AA183" s="666"/>
      <c r="AB183" s="666"/>
      <c r="AC183" s="666"/>
    </row>
    <row r="184" spans="1:68" x14ac:dyDescent="0.2">
      <c r="A184" s="671"/>
      <c r="B184" s="671"/>
      <c r="C184" s="671"/>
      <c r="D184" s="671"/>
      <c r="E184" s="671"/>
      <c r="F184" s="671"/>
      <c r="G184" s="671"/>
      <c r="H184" s="671"/>
      <c r="I184" s="671"/>
      <c r="J184" s="671"/>
      <c r="K184" s="671"/>
      <c r="L184" s="671"/>
      <c r="M184" s="671"/>
      <c r="N184" s="671"/>
      <c r="O184" s="672"/>
      <c r="P184" s="678" t="s">
        <v>87</v>
      </c>
      <c r="Q184" s="668"/>
      <c r="R184" s="668"/>
      <c r="S184" s="668"/>
      <c r="T184" s="668"/>
      <c r="U184" s="668"/>
      <c r="V184" s="669"/>
      <c r="W184" s="37" t="s">
        <v>68</v>
      </c>
      <c r="X184" s="665">
        <f>IFERROR(SUM(X174:X182),"0")</f>
        <v>138</v>
      </c>
      <c r="Y184" s="665">
        <f>IFERROR(SUM(Y174:Y182),"0")</f>
        <v>140.70000000000002</v>
      </c>
      <c r="Z184" s="37"/>
      <c r="AA184" s="666"/>
      <c r="AB184" s="666"/>
      <c r="AC184" s="666"/>
    </row>
    <row r="185" spans="1:68" ht="14.25" customHeight="1" x14ac:dyDescent="0.25">
      <c r="A185" s="680" t="s">
        <v>89</v>
      </c>
      <c r="B185" s="671"/>
      <c r="C185" s="671"/>
      <c r="D185" s="671"/>
      <c r="E185" s="671"/>
      <c r="F185" s="671"/>
      <c r="G185" s="671"/>
      <c r="H185" s="671"/>
      <c r="I185" s="671"/>
      <c r="J185" s="671"/>
      <c r="K185" s="671"/>
      <c r="L185" s="671"/>
      <c r="M185" s="671"/>
      <c r="N185" s="671"/>
      <c r="O185" s="671"/>
      <c r="P185" s="671"/>
      <c r="Q185" s="671"/>
      <c r="R185" s="671"/>
      <c r="S185" s="671"/>
      <c r="T185" s="671"/>
      <c r="U185" s="671"/>
      <c r="V185" s="671"/>
      <c r="W185" s="671"/>
      <c r="X185" s="671"/>
      <c r="Y185" s="671"/>
      <c r="Z185" s="671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76">
        <v>4680115886780</v>
      </c>
      <c r="E186" s="677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745" t="s">
        <v>316</v>
      </c>
      <c r="Q186" s="682"/>
      <c r="R186" s="682"/>
      <c r="S186" s="682"/>
      <c r="T186" s="683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0"/>
      <c r="B187" s="671"/>
      <c r="C187" s="671"/>
      <c r="D187" s="671"/>
      <c r="E187" s="671"/>
      <c r="F187" s="671"/>
      <c r="G187" s="671"/>
      <c r="H187" s="671"/>
      <c r="I187" s="671"/>
      <c r="J187" s="671"/>
      <c r="K187" s="671"/>
      <c r="L187" s="671"/>
      <c r="M187" s="671"/>
      <c r="N187" s="671"/>
      <c r="O187" s="672"/>
      <c r="P187" s="678" t="s">
        <v>87</v>
      </c>
      <c r="Q187" s="668"/>
      <c r="R187" s="668"/>
      <c r="S187" s="668"/>
      <c r="T187" s="668"/>
      <c r="U187" s="668"/>
      <c r="V187" s="669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1"/>
      <c r="B188" s="671"/>
      <c r="C188" s="671"/>
      <c r="D188" s="671"/>
      <c r="E188" s="671"/>
      <c r="F188" s="671"/>
      <c r="G188" s="671"/>
      <c r="H188" s="671"/>
      <c r="I188" s="671"/>
      <c r="J188" s="671"/>
      <c r="K188" s="671"/>
      <c r="L188" s="671"/>
      <c r="M188" s="671"/>
      <c r="N188" s="671"/>
      <c r="O188" s="672"/>
      <c r="P188" s="678" t="s">
        <v>87</v>
      </c>
      <c r="Q188" s="668"/>
      <c r="R188" s="668"/>
      <c r="S188" s="668"/>
      <c r="T188" s="668"/>
      <c r="U188" s="668"/>
      <c r="V188" s="669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686" t="s">
        <v>319</v>
      </c>
      <c r="B189" s="671"/>
      <c r="C189" s="671"/>
      <c r="D189" s="671"/>
      <c r="E189" s="671"/>
      <c r="F189" s="671"/>
      <c r="G189" s="671"/>
      <c r="H189" s="671"/>
      <c r="I189" s="671"/>
      <c r="J189" s="671"/>
      <c r="K189" s="671"/>
      <c r="L189" s="671"/>
      <c r="M189" s="671"/>
      <c r="N189" s="671"/>
      <c r="O189" s="671"/>
      <c r="P189" s="671"/>
      <c r="Q189" s="671"/>
      <c r="R189" s="671"/>
      <c r="S189" s="671"/>
      <c r="T189" s="671"/>
      <c r="U189" s="671"/>
      <c r="V189" s="671"/>
      <c r="W189" s="671"/>
      <c r="X189" s="671"/>
      <c r="Y189" s="671"/>
      <c r="Z189" s="671"/>
      <c r="AA189" s="658"/>
      <c r="AB189" s="658"/>
      <c r="AC189" s="658"/>
    </row>
    <row r="190" spans="1:68" ht="14.25" customHeight="1" x14ac:dyDescent="0.25">
      <c r="A190" s="680" t="s">
        <v>97</v>
      </c>
      <c r="B190" s="671"/>
      <c r="C190" s="671"/>
      <c r="D190" s="671"/>
      <c r="E190" s="671"/>
      <c r="F190" s="671"/>
      <c r="G190" s="671"/>
      <c r="H190" s="671"/>
      <c r="I190" s="671"/>
      <c r="J190" s="671"/>
      <c r="K190" s="671"/>
      <c r="L190" s="671"/>
      <c r="M190" s="671"/>
      <c r="N190" s="671"/>
      <c r="O190" s="671"/>
      <c r="P190" s="671"/>
      <c r="Q190" s="671"/>
      <c r="R190" s="671"/>
      <c r="S190" s="671"/>
      <c r="T190" s="671"/>
      <c r="U190" s="671"/>
      <c r="V190" s="671"/>
      <c r="W190" s="671"/>
      <c r="X190" s="671"/>
      <c r="Y190" s="671"/>
      <c r="Z190" s="671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76">
        <v>4680115881402</v>
      </c>
      <c r="E191" s="677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7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2"/>
      <c r="R191" s="682"/>
      <c r="S191" s="682"/>
      <c r="T191" s="683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76">
        <v>4680115881396</v>
      </c>
      <c r="E192" s="677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9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2"/>
      <c r="R192" s="682"/>
      <c r="S192" s="682"/>
      <c r="T192" s="683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0"/>
      <c r="B193" s="671"/>
      <c r="C193" s="671"/>
      <c r="D193" s="671"/>
      <c r="E193" s="671"/>
      <c r="F193" s="671"/>
      <c r="G193" s="671"/>
      <c r="H193" s="671"/>
      <c r="I193" s="671"/>
      <c r="J193" s="671"/>
      <c r="K193" s="671"/>
      <c r="L193" s="671"/>
      <c r="M193" s="671"/>
      <c r="N193" s="671"/>
      <c r="O193" s="672"/>
      <c r="P193" s="678" t="s">
        <v>87</v>
      </c>
      <c r="Q193" s="668"/>
      <c r="R193" s="668"/>
      <c r="S193" s="668"/>
      <c r="T193" s="668"/>
      <c r="U193" s="668"/>
      <c r="V193" s="669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1"/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72"/>
      <c r="P194" s="678" t="s">
        <v>87</v>
      </c>
      <c r="Q194" s="668"/>
      <c r="R194" s="668"/>
      <c r="S194" s="668"/>
      <c r="T194" s="668"/>
      <c r="U194" s="668"/>
      <c r="V194" s="669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80" t="s">
        <v>133</v>
      </c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76">
        <v>4680115882935</v>
      </c>
      <c r="E196" s="677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2"/>
      <c r="R196" s="682"/>
      <c r="S196" s="682"/>
      <c r="T196" s="683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76">
        <v>4680115880764</v>
      </c>
      <c r="E197" s="677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9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2"/>
      <c r="R197" s="682"/>
      <c r="S197" s="682"/>
      <c r="T197" s="683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0"/>
      <c r="B198" s="671"/>
      <c r="C198" s="671"/>
      <c r="D198" s="671"/>
      <c r="E198" s="671"/>
      <c r="F198" s="671"/>
      <c r="G198" s="671"/>
      <c r="H198" s="671"/>
      <c r="I198" s="671"/>
      <c r="J198" s="671"/>
      <c r="K198" s="671"/>
      <c r="L198" s="671"/>
      <c r="M198" s="671"/>
      <c r="N198" s="671"/>
      <c r="O198" s="672"/>
      <c r="P198" s="678" t="s">
        <v>87</v>
      </c>
      <c r="Q198" s="668"/>
      <c r="R198" s="668"/>
      <c r="S198" s="668"/>
      <c r="T198" s="668"/>
      <c r="U198" s="668"/>
      <c r="V198" s="669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1"/>
      <c r="B199" s="671"/>
      <c r="C199" s="671"/>
      <c r="D199" s="671"/>
      <c r="E199" s="671"/>
      <c r="F199" s="671"/>
      <c r="G199" s="671"/>
      <c r="H199" s="671"/>
      <c r="I199" s="671"/>
      <c r="J199" s="671"/>
      <c r="K199" s="671"/>
      <c r="L199" s="671"/>
      <c r="M199" s="671"/>
      <c r="N199" s="671"/>
      <c r="O199" s="672"/>
      <c r="P199" s="678" t="s">
        <v>87</v>
      </c>
      <c r="Q199" s="668"/>
      <c r="R199" s="668"/>
      <c r="S199" s="668"/>
      <c r="T199" s="668"/>
      <c r="U199" s="668"/>
      <c r="V199" s="669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80" t="s">
        <v>144</v>
      </c>
      <c r="B200" s="671"/>
      <c r="C200" s="671"/>
      <c r="D200" s="671"/>
      <c r="E200" s="671"/>
      <c r="F200" s="671"/>
      <c r="G200" s="671"/>
      <c r="H200" s="671"/>
      <c r="I200" s="671"/>
      <c r="J200" s="671"/>
      <c r="K200" s="671"/>
      <c r="L200" s="671"/>
      <c r="M200" s="671"/>
      <c r="N200" s="671"/>
      <c r="O200" s="671"/>
      <c r="P200" s="671"/>
      <c r="Q200" s="671"/>
      <c r="R200" s="671"/>
      <c r="S200" s="671"/>
      <c r="T200" s="671"/>
      <c r="U200" s="671"/>
      <c r="V200" s="671"/>
      <c r="W200" s="671"/>
      <c r="X200" s="671"/>
      <c r="Y200" s="671"/>
      <c r="Z200" s="671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6">
        <v>4680115882683</v>
      </c>
      <c r="E201" s="677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7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2"/>
      <c r="R201" s="682"/>
      <c r="S201" s="682"/>
      <c r="T201" s="683"/>
      <c r="U201" s="34"/>
      <c r="V201" s="34"/>
      <c r="W201" s="35" t="s">
        <v>68</v>
      </c>
      <c r="X201" s="663">
        <v>227</v>
      </c>
      <c r="Y201" s="664">
        <f t="shared" ref="Y201:Y208" si="32">IFERROR(IF(X201="",0,CEILING((X201/$H201),1)*$H201),"")</f>
        <v>232.20000000000002</v>
      </c>
      <c r="Z201" s="36">
        <f>IFERROR(IF(Y201=0,"",ROUNDUP(Y201/H201,0)*0.00902),"")</f>
        <v>0.38785999999999998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235.82777777777775</v>
      </c>
      <c r="BN201" s="64">
        <f t="shared" ref="BN201:BN208" si="34">IFERROR(Y201*I201/H201,"0")</f>
        <v>241.23000000000005</v>
      </c>
      <c r="BO201" s="64">
        <f t="shared" ref="BO201:BO208" si="35">IFERROR(1/J201*(X201/H201),"0")</f>
        <v>0.31846240179573509</v>
      </c>
      <c r="BP201" s="64">
        <f t="shared" ref="BP201:BP208" si="36">IFERROR(1/J201*(Y201/H201),"0")</f>
        <v>0.32575757575757575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76">
        <v>4680115882690</v>
      </c>
      <c r="E202" s="677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84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2"/>
      <c r="R202" s="682"/>
      <c r="S202" s="682"/>
      <c r="T202" s="683"/>
      <c r="U202" s="34"/>
      <c r="V202" s="34"/>
      <c r="W202" s="35" t="s">
        <v>68</v>
      </c>
      <c r="X202" s="663">
        <v>104</v>
      </c>
      <c r="Y202" s="664">
        <f t="shared" si="32"/>
        <v>108</v>
      </c>
      <c r="Z202" s="36">
        <f>IFERROR(IF(Y202=0,"",ROUNDUP(Y202/H202,0)*0.00902),"")</f>
        <v>0.1804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108.04444444444445</v>
      </c>
      <c r="BN202" s="64">
        <f t="shared" si="34"/>
        <v>112.19999999999999</v>
      </c>
      <c r="BO202" s="64">
        <f t="shared" si="35"/>
        <v>0.14590347923681257</v>
      </c>
      <c r="BP202" s="64">
        <f t="shared" si="36"/>
        <v>0.15151515151515152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76">
        <v>4680115882669</v>
      </c>
      <c r="E203" s="677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9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2"/>
      <c r="R203" s="682"/>
      <c r="S203" s="682"/>
      <c r="T203" s="683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76">
        <v>4680115882676</v>
      </c>
      <c r="E204" s="677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6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2"/>
      <c r="R204" s="682"/>
      <c r="S204" s="682"/>
      <c r="T204" s="683"/>
      <c r="U204" s="34"/>
      <c r="V204" s="34"/>
      <c r="W204" s="35" t="s">
        <v>68</v>
      </c>
      <c r="X204" s="663">
        <v>77</v>
      </c>
      <c r="Y204" s="664">
        <f t="shared" si="32"/>
        <v>81</v>
      </c>
      <c r="Z204" s="36">
        <f>IFERROR(IF(Y204=0,"",ROUNDUP(Y204/H204,0)*0.00902),"")</f>
        <v>0.1353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79.99444444444444</v>
      </c>
      <c r="BN204" s="64">
        <f t="shared" si="34"/>
        <v>84.15</v>
      </c>
      <c r="BO204" s="64">
        <f t="shared" si="35"/>
        <v>0.10802469135802469</v>
      </c>
      <c r="BP204" s="64">
        <f t="shared" si="36"/>
        <v>0.11363636363636363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76">
        <v>4680115884014</v>
      </c>
      <c r="E205" s="677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2"/>
      <c r="R205" s="682"/>
      <c r="S205" s="682"/>
      <c r="T205" s="683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76">
        <v>4680115884007</v>
      </c>
      <c r="E206" s="677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2"/>
      <c r="R206" s="682"/>
      <c r="S206" s="682"/>
      <c r="T206" s="683"/>
      <c r="U206" s="34"/>
      <c r="V206" s="34"/>
      <c r="W206" s="35" t="s">
        <v>68</v>
      </c>
      <c r="X206" s="663">
        <v>16</v>
      </c>
      <c r="Y206" s="664">
        <f t="shared" si="32"/>
        <v>16.2</v>
      </c>
      <c r="Z206" s="36">
        <f>IFERROR(IF(Y206=0,"",ROUNDUP(Y206/H206,0)*0.00502),"")</f>
        <v>4.5179999999999998E-2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16.888888888888889</v>
      </c>
      <c r="BN206" s="64">
        <f t="shared" si="34"/>
        <v>17.099999999999998</v>
      </c>
      <c r="BO206" s="64">
        <f t="shared" si="35"/>
        <v>3.7986704653371325E-2</v>
      </c>
      <c r="BP206" s="64">
        <f t="shared" si="36"/>
        <v>3.8461538461538464E-2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76">
        <v>4680115884038</v>
      </c>
      <c r="E207" s="677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2"/>
      <c r="R207" s="682"/>
      <c r="S207" s="682"/>
      <c r="T207" s="683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76">
        <v>4680115884021</v>
      </c>
      <c r="E208" s="677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92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2"/>
      <c r="R208" s="682"/>
      <c r="S208" s="682"/>
      <c r="T208" s="683"/>
      <c r="U208" s="34"/>
      <c r="V208" s="34"/>
      <c r="W208" s="35" t="s">
        <v>68</v>
      </c>
      <c r="X208" s="663">
        <v>10</v>
      </c>
      <c r="Y208" s="664">
        <f t="shared" si="32"/>
        <v>10.8</v>
      </c>
      <c r="Z208" s="36">
        <f>IFERROR(IF(Y208=0,"",ROUNDUP(Y208/H208,0)*0.00502),"")</f>
        <v>3.0120000000000001E-2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10.555555555555555</v>
      </c>
      <c r="BN208" s="64">
        <f t="shared" si="34"/>
        <v>11.4</v>
      </c>
      <c r="BO208" s="64">
        <f t="shared" si="35"/>
        <v>2.3741690408357077E-2</v>
      </c>
      <c r="BP208" s="64">
        <f t="shared" si="36"/>
        <v>2.5641025641025644E-2</v>
      </c>
    </row>
    <row r="209" spans="1:68" x14ac:dyDescent="0.2">
      <c r="A209" s="670"/>
      <c r="B209" s="671"/>
      <c r="C209" s="671"/>
      <c r="D209" s="671"/>
      <c r="E209" s="671"/>
      <c r="F209" s="671"/>
      <c r="G209" s="671"/>
      <c r="H209" s="671"/>
      <c r="I209" s="671"/>
      <c r="J209" s="671"/>
      <c r="K209" s="671"/>
      <c r="L209" s="671"/>
      <c r="M209" s="671"/>
      <c r="N209" s="671"/>
      <c r="O209" s="672"/>
      <c r="P209" s="678" t="s">
        <v>87</v>
      </c>
      <c r="Q209" s="668"/>
      <c r="R209" s="668"/>
      <c r="S209" s="668"/>
      <c r="T209" s="668"/>
      <c r="U209" s="668"/>
      <c r="V209" s="669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89.999999999999986</v>
      </c>
      <c r="Y209" s="665">
        <f>IFERROR(Y201/H201,"0")+IFERROR(Y202/H202,"0")+IFERROR(Y203/H203,"0")+IFERROR(Y204/H204,"0")+IFERROR(Y205/H205,"0")+IFERROR(Y206/H206,"0")+IFERROR(Y207/H207,"0")+IFERROR(Y208/H208,"0")</f>
        <v>93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0.77886</v>
      </c>
      <c r="AA209" s="666"/>
      <c r="AB209" s="666"/>
      <c r="AC209" s="666"/>
    </row>
    <row r="210" spans="1:68" x14ac:dyDescent="0.2">
      <c r="A210" s="671"/>
      <c r="B210" s="671"/>
      <c r="C210" s="671"/>
      <c r="D210" s="671"/>
      <c r="E210" s="671"/>
      <c r="F210" s="671"/>
      <c r="G210" s="671"/>
      <c r="H210" s="671"/>
      <c r="I210" s="671"/>
      <c r="J210" s="671"/>
      <c r="K210" s="671"/>
      <c r="L210" s="671"/>
      <c r="M210" s="671"/>
      <c r="N210" s="671"/>
      <c r="O210" s="672"/>
      <c r="P210" s="678" t="s">
        <v>87</v>
      </c>
      <c r="Q210" s="668"/>
      <c r="R210" s="668"/>
      <c r="S210" s="668"/>
      <c r="T210" s="668"/>
      <c r="U210" s="668"/>
      <c r="V210" s="669"/>
      <c r="W210" s="37" t="s">
        <v>68</v>
      </c>
      <c r="X210" s="665">
        <f>IFERROR(SUM(X201:X208),"0")</f>
        <v>434</v>
      </c>
      <c r="Y210" s="665">
        <f>IFERROR(SUM(Y201:Y208),"0")</f>
        <v>448.20000000000005</v>
      </c>
      <c r="Z210" s="37"/>
      <c r="AA210" s="666"/>
      <c r="AB210" s="666"/>
      <c r="AC210" s="666"/>
    </row>
    <row r="211" spans="1:68" ht="14.25" customHeight="1" x14ac:dyDescent="0.25">
      <c r="A211" s="680" t="s">
        <v>63</v>
      </c>
      <c r="B211" s="671"/>
      <c r="C211" s="671"/>
      <c r="D211" s="671"/>
      <c r="E211" s="671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71"/>
      <c r="Q211" s="671"/>
      <c r="R211" s="671"/>
      <c r="S211" s="671"/>
      <c r="T211" s="671"/>
      <c r="U211" s="671"/>
      <c r="V211" s="671"/>
      <c r="W211" s="671"/>
      <c r="X211" s="671"/>
      <c r="Y211" s="671"/>
      <c r="Z211" s="671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76">
        <v>4680115881594</v>
      </c>
      <c r="E212" s="677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2"/>
      <c r="R212" s="682"/>
      <c r="S212" s="682"/>
      <c r="T212" s="683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76">
        <v>4680115881617</v>
      </c>
      <c r="E213" s="677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10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2"/>
      <c r="R213" s="682"/>
      <c r="S213" s="682"/>
      <c r="T213" s="683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6">
        <v>4680115880573</v>
      </c>
      <c r="E214" s="677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2"/>
      <c r="R214" s="682"/>
      <c r="S214" s="682"/>
      <c r="T214" s="683"/>
      <c r="U214" s="34"/>
      <c r="V214" s="34"/>
      <c r="W214" s="35" t="s">
        <v>68</v>
      </c>
      <c r="X214" s="663">
        <v>236</v>
      </c>
      <c r="Y214" s="664">
        <f t="shared" si="37"/>
        <v>243.59999999999997</v>
      </c>
      <c r="Z214" s="36">
        <f>IFERROR(IF(Y214=0,"",ROUNDUP(Y214/H214,0)*0.01898),"")</f>
        <v>0.53144000000000002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250.07862068965517</v>
      </c>
      <c r="BN214" s="64">
        <f t="shared" si="39"/>
        <v>258.13199999999995</v>
      </c>
      <c r="BO214" s="64">
        <f t="shared" si="40"/>
        <v>0.4238505747126437</v>
      </c>
      <c r="BP214" s="64">
        <f t="shared" si="41"/>
        <v>0.4375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6">
        <v>4680115882195</v>
      </c>
      <c r="E215" s="677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102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2"/>
      <c r="R215" s="682"/>
      <c r="S215" s="682"/>
      <c r="T215" s="683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76">
        <v>4680115882607</v>
      </c>
      <c r="E216" s="677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9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2"/>
      <c r="R216" s="682"/>
      <c r="S216" s="682"/>
      <c r="T216" s="683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6">
        <v>4680115880092</v>
      </c>
      <c r="E217" s="677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84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2"/>
      <c r="R217" s="682"/>
      <c r="S217" s="682"/>
      <c r="T217" s="683"/>
      <c r="U217" s="34"/>
      <c r="V217" s="34"/>
      <c r="W217" s="35" t="s">
        <v>68</v>
      </c>
      <c r="X217" s="663">
        <v>197</v>
      </c>
      <c r="Y217" s="664">
        <f t="shared" si="37"/>
        <v>199.2</v>
      </c>
      <c r="Z217" s="36">
        <f t="shared" si="42"/>
        <v>0.54032999999999998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217.68500000000003</v>
      </c>
      <c r="BN217" s="64">
        <f t="shared" si="39"/>
        <v>220.11600000000001</v>
      </c>
      <c r="BO217" s="64">
        <f t="shared" si="40"/>
        <v>0.45100732600732607</v>
      </c>
      <c r="BP217" s="64">
        <f t="shared" si="41"/>
        <v>0.45604395604395609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6">
        <v>4680115880221</v>
      </c>
      <c r="E218" s="677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6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2"/>
      <c r="R218" s="682"/>
      <c r="S218" s="682"/>
      <c r="T218" s="683"/>
      <c r="U218" s="34"/>
      <c r="V218" s="34"/>
      <c r="W218" s="35" t="s">
        <v>68</v>
      </c>
      <c r="X218" s="663">
        <v>118</v>
      </c>
      <c r="Y218" s="664">
        <f t="shared" si="37"/>
        <v>120</v>
      </c>
      <c r="Z218" s="36">
        <f t="shared" si="42"/>
        <v>0.32550000000000001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130.39000000000001</v>
      </c>
      <c r="BN218" s="64">
        <f t="shared" si="39"/>
        <v>132.60000000000002</v>
      </c>
      <c r="BO218" s="64">
        <f t="shared" si="40"/>
        <v>0.27014652014652019</v>
      </c>
      <c r="BP218" s="64">
        <f t="shared" si="41"/>
        <v>0.27472527472527475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76">
        <v>4680115880504</v>
      </c>
      <c r="E219" s="677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90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2"/>
      <c r="R219" s="682"/>
      <c r="S219" s="682"/>
      <c r="T219" s="683"/>
      <c r="U219" s="34"/>
      <c r="V219" s="34"/>
      <c r="W219" s="35" t="s">
        <v>68</v>
      </c>
      <c r="X219" s="663">
        <v>40</v>
      </c>
      <c r="Y219" s="664">
        <f t="shared" si="37"/>
        <v>40.799999999999997</v>
      </c>
      <c r="Z219" s="36">
        <f t="shared" si="42"/>
        <v>0.11067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44.20000000000001</v>
      </c>
      <c r="BN219" s="64">
        <f t="shared" si="39"/>
        <v>45.084000000000003</v>
      </c>
      <c r="BO219" s="64">
        <f t="shared" si="40"/>
        <v>9.1575091575091583E-2</v>
      </c>
      <c r="BP219" s="64">
        <f t="shared" si="41"/>
        <v>9.3406593406593408E-2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6">
        <v>4680115882164</v>
      </c>
      <c r="E220" s="677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103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2"/>
      <c r="R220" s="682"/>
      <c r="S220" s="682"/>
      <c r="T220" s="683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0"/>
      <c r="B221" s="671"/>
      <c r="C221" s="671"/>
      <c r="D221" s="671"/>
      <c r="E221" s="671"/>
      <c r="F221" s="671"/>
      <c r="G221" s="671"/>
      <c r="H221" s="671"/>
      <c r="I221" s="671"/>
      <c r="J221" s="671"/>
      <c r="K221" s="671"/>
      <c r="L221" s="671"/>
      <c r="M221" s="671"/>
      <c r="N221" s="671"/>
      <c r="O221" s="672"/>
      <c r="P221" s="678" t="s">
        <v>87</v>
      </c>
      <c r="Q221" s="668"/>
      <c r="R221" s="668"/>
      <c r="S221" s="668"/>
      <c r="T221" s="668"/>
      <c r="U221" s="668"/>
      <c r="V221" s="669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175.04310344827587</v>
      </c>
      <c r="Y221" s="665">
        <f>IFERROR(Y212/H212,"0")+IFERROR(Y213/H213,"0")+IFERROR(Y214/H214,"0")+IFERROR(Y215/H215,"0")+IFERROR(Y216/H216,"0")+IFERROR(Y217/H217,"0")+IFERROR(Y218/H218,"0")+IFERROR(Y219/H219,"0")+IFERROR(Y220/H220,"0")</f>
        <v>178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1.5079399999999998</v>
      </c>
      <c r="AA221" s="666"/>
      <c r="AB221" s="666"/>
      <c r="AC221" s="666"/>
    </row>
    <row r="222" spans="1:68" x14ac:dyDescent="0.2">
      <c r="A222" s="671"/>
      <c r="B222" s="671"/>
      <c r="C222" s="671"/>
      <c r="D222" s="671"/>
      <c r="E222" s="671"/>
      <c r="F222" s="671"/>
      <c r="G222" s="671"/>
      <c r="H222" s="671"/>
      <c r="I222" s="671"/>
      <c r="J222" s="671"/>
      <c r="K222" s="671"/>
      <c r="L222" s="671"/>
      <c r="M222" s="671"/>
      <c r="N222" s="671"/>
      <c r="O222" s="672"/>
      <c r="P222" s="678" t="s">
        <v>87</v>
      </c>
      <c r="Q222" s="668"/>
      <c r="R222" s="668"/>
      <c r="S222" s="668"/>
      <c r="T222" s="668"/>
      <c r="U222" s="668"/>
      <c r="V222" s="669"/>
      <c r="W222" s="37" t="s">
        <v>68</v>
      </c>
      <c r="X222" s="665">
        <f>IFERROR(SUM(X212:X220),"0")</f>
        <v>591</v>
      </c>
      <c r="Y222" s="665">
        <f>IFERROR(SUM(Y212:Y220),"0")</f>
        <v>603.59999999999991</v>
      </c>
      <c r="Z222" s="37"/>
      <c r="AA222" s="666"/>
      <c r="AB222" s="666"/>
      <c r="AC222" s="666"/>
    </row>
    <row r="223" spans="1:68" ht="14.25" customHeight="1" x14ac:dyDescent="0.25">
      <c r="A223" s="680" t="s">
        <v>170</v>
      </c>
      <c r="B223" s="671"/>
      <c r="C223" s="671"/>
      <c r="D223" s="671"/>
      <c r="E223" s="671"/>
      <c r="F223" s="671"/>
      <c r="G223" s="671"/>
      <c r="H223" s="671"/>
      <c r="I223" s="671"/>
      <c r="J223" s="671"/>
      <c r="K223" s="671"/>
      <c r="L223" s="671"/>
      <c r="M223" s="671"/>
      <c r="N223" s="671"/>
      <c r="O223" s="671"/>
      <c r="P223" s="671"/>
      <c r="Q223" s="671"/>
      <c r="R223" s="671"/>
      <c r="S223" s="671"/>
      <c r="T223" s="671"/>
      <c r="U223" s="671"/>
      <c r="V223" s="671"/>
      <c r="W223" s="671"/>
      <c r="X223" s="671"/>
      <c r="Y223" s="671"/>
      <c r="Z223" s="671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6">
        <v>4680115880818</v>
      </c>
      <c r="E224" s="677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92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2"/>
      <c r="R224" s="682"/>
      <c r="S224" s="682"/>
      <c r="T224" s="683"/>
      <c r="U224" s="34"/>
      <c r="V224" s="34"/>
      <c r="W224" s="35" t="s">
        <v>68</v>
      </c>
      <c r="X224" s="663">
        <v>28</v>
      </c>
      <c r="Y224" s="664">
        <f>IFERROR(IF(X224="",0,CEILING((X224/$H224),1)*$H224),"")</f>
        <v>28.799999999999997</v>
      </c>
      <c r="Z224" s="36">
        <f>IFERROR(IF(Y224=0,"",ROUNDUP(Y224/H224,0)*0.00651),"")</f>
        <v>7.8119999999999995E-2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30.94</v>
      </c>
      <c r="BN224" s="64">
        <f>IFERROR(Y224*I224/H224,"0")</f>
        <v>31.824000000000002</v>
      </c>
      <c r="BO224" s="64">
        <f>IFERROR(1/J224*(X224/H224),"0")</f>
        <v>6.4102564102564111E-2</v>
      </c>
      <c r="BP224" s="64">
        <f>IFERROR(1/J224*(Y224/H224),"0")</f>
        <v>6.5934065934065936E-2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76">
        <v>4680115880801</v>
      </c>
      <c r="E225" s="677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8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2"/>
      <c r="R225" s="682"/>
      <c r="S225" s="682"/>
      <c r="T225" s="683"/>
      <c r="U225" s="34"/>
      <c r="V225" s="34"/>
      <c r="W225" s="35" t="s">
        <v>68</v>
      </c>
      <c r="X225" s="663">
        <v>17</v>
      </c>
      <c r="Y225" s="664">
        <f>IFERROR(IF(X225="",0,CEILING((X225/$H225),1)*$H225),"")</f>
        <v>19.2</v>
      </c>
      <c r="Z225" s="36">
        <f>IFERROR(IF(Y225=0,"",ROUNDUP(Y225/H225,0)*0.00651),"")</f>
        <v>5.2080000000000001E-2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18.785000000000004</v>
      </c>
      <c r="BN225" s="64">
        <f>IFERROR(Y225*I225/H225,"0")</f>
        <v>21.216000000000001</v>
      </c>
      <c r="BO225" s="64">
        <f>IFERROR(1/J225*(X225/H225),"0")</f>
        <v>3.8919413919413927E-2</v>
      </c>
      <c r="BP225" s="64">
        <f>IFERROR(1/J225*(Y225/H225),"0")</f>
        <v>4.3956043956043959E-2</v>
      </c>
    </row>
    <row r="226" spans="1:68" x14ac:dyDescent="0.2">
      <c r="A226" s="670"/>
      <c r="B226" s="671"/>
      <c r="C226" s="671"/>
      <c r="D226" s="671"/>
      <c r="E226" s="671"/>
      <c r="F226" s="671"/>
      <c r="G226" s="671"/>
      <c r="H226" s="671"/>
      <c r="I226" s="671"/>
      <c r="J226" s="671"/>
      <c r="K226" s="671"/>
      <c r="L226" s="671"/>
      <c r="M226" s="671"/>
      <c r="N226" s="671"/>
      <c r="O226" s="672"/>
      <c r="P226" s="678" t="s">
        <v>87</v>
      </c>
      <c r="Q226" s="668"/>
      <c r="R226" s="668"/>
      <c r="S226" s="668"/>
      <c r="T226" s="668"/>
      <c r="U226" s="668"/>
      <c r="V226" s="669"/>
      <c r="W226" s="37" t="s">
        <v>88</v>
      </c>
      <c r="X226" s="665">
        <f>IFERROR(X224/H224,"0")+IFERROR(X225/H225,"0")</f>
        <v>18.75</v>
      </c>
      <c r="Y226" s="665">
        <f>IFERROR(Y224/H224,"0")+IFERROR(Y225/H225,"0")</f>
        <v>20</v>
      </c>
      <c r="Z226" s="665">
        <f>IFERROR(IF(Z224="",0,Z224),"0")+IFERROR(IF(Z225="",0,Z225),"0")</f>
        <v>0.13019999999999998</v>
      </c>
      <c r="AA226" s="666"/>
      <c r="AB226" s="666"/>
      <c r="AC226" s="666"/>
    </row>
    <row r="227" spans="1:68" x14ac:dyDescent="0.2">
      <c r="A227" s="671"/>
      <c r="B227" s="671"/>
      <c r="C227" s="671"/>
      <c r="D227" s="671"/>
      <c r="E227" s="671"/>
      <c r="F227" s="671"/>
      <c r="G227" s="671"/>
      <c r="H227" s="671"/>
      <c r="I227" s="671"/>
      <c r="J227" s="671"/>
      <c r="K227" s="671"/>
      <c r="L227" s="671"/>
      <c r="M227" s="671"/>
      <c r="N227" s="671"/>
      <c r="O227" s="672"/>
      <c r="P227" s="678" t="s">
        <v>87</v>
      </c>
      <c r="Q227" s="668"/>
      <c r="R227" s="668"/>
      <c r="S227" s="668"/>
      <c r="T227" s="668"/>
      <c r="U227" s="668"/>
      <c r="V227" s="669"/>
      <c r="W227" s="37" t="s">
        <v>68</v>
      </c>
      <c r="X227" s="665">
        <f>IFERROR(SUM(X224:X225),"0")</f>
        <v>45</v>
      </c>
      <c r="Y227" s="665">
        <f>IFERROR(SUM(Y224:Y225),"0")</f>
        <v>48</v>
      </c>
      <c r="Z227" s="37"/>
      <c r="AA227" s="666"/>
      <c r="AB227" s="666"/>
      <c r="AC227" s="666"/>
    </row>
    <row r="228" spans="1:68" ht="16.5" customHeight="1" x14ac:dyDescent="0.25">
      <c r="A228" s="686" t="s">
        <v>380</v>
      </c>
      <c r="B228" s="671"/>
      <c r="C228" s="671"/>
      <c r="D228" s="671"/>
      <c r="E228" s="671"/>
      <c r="F228" s="671"/>
      <c r="G228" s="671"/>
      <c r="H228" s="671"/>
      <c r="I228" s="671"/>
      <c r="J228" s="671"/>
      <c r="K228" s="671"/>
      <c r="L228" s="671"/>
      <c r="M228" s="671"/>
      <c r="N228" s="671"/>
      <c r="O228" s="671"/>
      <c r="P228" s="671"/>
      <c r="Q228" s="671"/>
      <c r="R228" s="671"/>
      <c r="S228" s="671"/>
      <c r="T228" s="671"/>
      <c r="U228" s="671"/>
      <c r="V228" s="671"/>
      <c r="W228" s="671"/>
      <c r="X228" s="671"/>
      <c r="Y228" s="671"/>
      <c r="Z228" s="671"/>
      <c r="AA228" s="658"/>
      <c r="AB228" s="658"/>
      <c r="AC228" s="658"/>
    </row>
    <row r="229" spans="1:68" ht="14.25" customHeight="1" x14ac:dyDescent="0.25">
      <c r="A229" s="680" t="s">
        <v>97</v>
      </c>
      <c r="B229" s="671"/>
      <c r="C229" s="671"/>
      <c r="D229" s="671"/>
      <c r="E229" s="671"/>
      <c r="F229" s="671"/>
      <c r="G229" s="671"/>
      <c r="H229" s="671"/>
      <c r="I229" s="671"/>
      <c r="J229" s="671"/>
      <c r="K229" s="671"/>
      <c r="L229" s="671"/>
      <c r="M229" s="671"/>
      <c r="N229" s="671"/>
      <c r="O229" s="671"/>
      <c r="P229" s="671"/>
      <c r="Q229" s="671"/>
      <c r="R229" s="671"/>
      <c r="S229" s="671"/>
      <c r="T229" s="671"/>
      <c r="U229" s="671"/>
      <c r="V229" s="671"/>
      <c r="W229" s="671"/>
      <c r="X229" s="671"/>
      <c r="Y229" s="671"/>
      <c r="Z229" s="671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76">
        <v>4680115884137</v>
      </c>
      <c r="E230" s="677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9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2"/>
      <c r="R230" s="682"/>
      <c r="S230" s="682"/>
      <c r="T230" s="683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76">
        <v>4680115884137</v>
      </c>
      <c r="E231" s="677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104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2"/>
      <c r="R231" s="682"/>
      <c r="S231" s="682"/>
      <c r="T231" s="683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76">
        <v>4680115884236</v>
      </c>
      <c r="E232" s="677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2"/>
      <c r="R232" s="682"/>
      <c r="S232" s="682"/>
      <c r="T232" s="683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76">
        <v>4680115884175</v>
      </c>
      <c r="E233" s="677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5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2"/>
      <c r="R233" s="682"/>
      <c r="S233" s="682"/>
      <c r="T233" s="683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76">
        <v>4680115884175</v>
      </c>
      <c r="E234" s="677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10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2"/>
      <c r="R234" s="682"/>
      <c r="S234" s="682"/>
      <c r="T234" s="683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76">
        <v>4680115884144</v>
      </c>
      <c r="E235" s="677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2"/>
      <c r="R235" s="682"/>
      <c r="S235" s="682"/>
      <c r="T235" s="683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76">
        <v>4680115884182</v>
      </c>
      <c r="E236" s="677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100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2"/>
      <c r="R236" s="682"/>
      <c r="S236" s="682"/>
      <c r="T236" s="683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76">
        <v>4680115884205</v>
      </c>
      <c r="E237" s="677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101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2"/>
      <c r="R237" s="682"/>
      <c r="S237" s="682"/>
      <c r="T237" s="683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0"/>
      <c r="B238" s="671"/>
      <c r="C238" s="671"/>
      <c r="D238" s="671"/>
      <c r="E238" s="671"/>
      <c r="F238" s="671"/>
      <c r="G238" s="671"/>
      <c r="H238" s="671"/>
      <c r="I238" s="671"/>
      <c r="J238" s="671"/>
      <c r="K238" s="671"/>
      <c r="L238" s="671"/>
      <c r="M238" s="671"/>
      <c r="N238" s="671"/>
      <c r="O238" s="672"/>
      <c r="P238" s="678" t="s">
        <v>87</v>
      </c>
      <c r="Q238" s="668"/>
      <c r="R238" s="668"/>
      <c r="S238" s="668"/>
      <c r="T238" s="668"/>
      <c r="U238" s="668"/>
      <c r="V238" s="669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1"/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72"/>
      <c r="P239" s="678" t="s">
        <v>87</v>
      </c>
      <c r="Q239" s="668"/>
      <c r="R239" s="668"/>
      <c r="S239" s="668"/>
      <c r="T239" s="668"/>
      <c r="U239" s="668"/>
      <c r="V239" s="669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80" t="s">
        <v>133</v>
      </c>
      <c r="B240" s="671"/>
      <c r="C240" s="671"/>
      <c r="D240" s="671"/>
      <c r="E240" s="671"/>
      <c r="F240" s="671"/>
      <c r="G240" s="671"/>
      <c r="H240" s="671"/>
      <c r="I240" s="671"/>
      <c r="J240" s="671"/>
      <c r="K240" s="671"/>
      <c r="L240" s="671"/>
      <c r="M240" s="671"/>
      <c r="N240" s="671"/>
      <c r="O240" s="671"/>
      <c r="P240" s="671"/>
      <c r="Q240" s="671"/>
      <c r="R240" s="671"/>
      <c r="S240" s="671"/>
      <c r="T240" s="671"/>
      <c r="U240" s="671"/>
      <c r="V240" s="671"/>
      <c r="W240" s="671"/>
      <c r="X240" s="671"/>
      <c r="Y240" s="671"/>
      <c r="Z240" s="671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76">
        <v>4680115885981</v>
      </c>
      <c r="E241" s="677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770" t="s">
        <v>402</v>
      </c>
      <c r="Q241" s="682"/>
      <c r="R241" s="682"/>
      <c r="S241" s="682"/>
      <c r="T241" s="683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76">
        <v>4680115885721</v>
      </c>
      <c r="E242" s="677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99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82"/>
      <c r="R242" s="682"/>
      <c r="S242" s="682"/>
      <c r="T242" s="683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0"/>
      <c r="B243" s="671"/>
      <c r="C243" s="671"/>
      <c r="D243" s="671"/>
      <c r="E243" s="671"/>
      <c r="F243" s="671"/>
      <c r="G243" s="671"/>
      <c r="H243" s="671"/>
      <c r="I243" s="671"/>
      <c r="J243" s="671"/>
      <c r="K243" s="671"/>
      <c r="L243" s="671"/>
      <c r="M243" s="671"/>
      <c r="N243" s="671"/>
      <c r="O243" s="672"/>
      <c r="P243" s="678" t="s">
        <v>87</v>
      </c>
      <c r="Q243" s="668"/>
      <c r="R243" s="668"/>
      <c r="S243" s="668"/>
      <c r="T243" s="668"/>
      <c r="U243" s="668"/>
      <c r="V243" s="669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1"/>
      <c r="B244" s="671"/>
      <c r="C244" s="671"/>
      <c r="D244" s="671"/>
      <c r="E244" s="671"/>
      <c r="F244" s="671"/>
      <c r="G244" s="671"/>
      <c r="H244" s="671"/>
      <c r="I244" s="671"/>
      <c r="J244" s="671"/>
      <c r="K244" s="671"/>
      <c r="L244" s="671"/>
      <c r="M244" s="671"/>
      <c r="N244" s="671"/>
      <c r="O244" s="672"/>
      <c r="P244" s="678" t="s">
        <v>87</v>
      </c>
      <c r="Q244" s="668"/>
      <c r="R244" s="668"/>
      <c r="S244" s="668"/>
      <c r="T244" s="668"/>
      <c r="U244" s="668"/>
      <c r="V244" s="669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80" t="s">
        <v>405</v>
      </c>
      <c r="B245" s="671"/>
      <c r="C245" s="671"/>
      <c r="D245" s="671"/>
      <c r="E245" s="671"/>
      <c r="F245" s="671"/>
      <c r="G245" s="671"/>
      <c r="H245" s="671"/>
      <c r="I245" s="671"/>
      <c r="J245" s="671"/>
      <c r="K245" s="671"/>
      <c r="L245" s="671"/>
      <c r="M245" s="671"/>
      <c r="N245" s="671"/>
      <c r="O245" s="671"/>
      <c r="P245" s="671"/>
      <c r="Q245" s="671"/>
      <c r="R245" s="671"/>
      <c r="S245" s="671"/>
      <c r="T245" s="671"/>
      <c r="U245" s="671"/>
      <c r="V245" s="671"/>
      <c r="W245" s="671"/>
      <c r="X245" s="671"/>
      <c r="Y245" s="671"/>
      <c r="Z245" s="671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76">
        <v>4680115886803</v>
      </c>
      <c r="E246" s="677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946" t="s">
        <v>408</v>
      </c>
      <c r="Q246" s="682"/>
      <c r="R246" s="682"/>
      <c r="S246" s="682"/>
      <c r="T246" s="683"/>
      <c r="U246" s="34"/>
      <c r="V246" s="34"/>
      <c r="W246" s="35" t="s">
        <v>68</v>
      </c>
      <c r="X246" s="663">
        <v>13</v>
      </c>
      <c r="Y246" s="664">
        <f>IFERROR(IF(X246="",0,CEILING((X246/$H246),1)*$H246),"")</f>
        <v>15.120000000000001</v>
      </c>
      <c r="Z246" s="36">
        <f>IFERROR(IF(Y246=0,"",ROUNDUP(Y246/H246,0)*0.0059),"")</f>
        <v>4.1299999999999996E-2</v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14.143518518518517</v>
      </c>
      <c r="BN246" s="64">
        <f>IFERROR(Y246*I246/H246,"0")</f>
        <v>16.45</v>
      </c>
      <c r="BO246" s="64">
        <f>IFERROR(1/J246*(X246/H246),"0")</f>
        <v>2.7863511659807952E-2</v>
      </c>
      <c r="BP246" s="64">
        <f>IFERROR(1/J246*(Y246/H246),"0")</f>
        <v>3.2407407407407406E-2</v>
      </c>
    </row>
    <row r="247" spans="1:68" x14ac:dyDescent="0.2">
      <c r="A247" s="670"/>
      <c r="B247" s="671"/>
      <c r="C247" s="671"/>
      <c r="D247" s="671"/>
      <c r="E247" s="671"/>
      <c r="F247" s="671"/>
      <c r="G247" s="671"/>
      <c r="H247" s="671"/>
      <c r="I247" s="671"/>
      <c r="J247" s="671"/>
      <c r="K247" s="671"/>
      <c r="L247" s="671"/>
      <c r="M247" s="671"/>
      <c r="N247" s="671"/>
      <c r="O247" s="672"/>
      <c r="P247" s="678" t="s">
        <v>87</v>
      </c>
      <c r="Q247" s="668"/>
      <c r="R247" s="668"/>
      <c r="S247" s="668"/>
      <c r="T247" s="668"/>
      <c r="U247" s="668"/>
      <c r="V247" s="669"/>
      <c r="W247" s="37" t="s">
        <v>88</v>
      </c>
      <c r="X247" s="665">
        <f>IFERROR(X246/H246,"0")</f>
        <v>6.0185185185185182</v>
      </c>
      <c r="Y247" s="665">
        <f>IFERROR(Y246/H246,"0")</f>
        <v>7</v>
      </c>
      <c r="Z247" s="665">
        <f>IFERROR(IF(Z246="",0,Z246),"0")</f>
        <v>4.1299999999999996E-2</v>
      </c>
      <c r="AA247" s="666"/>
      <c r="AB247" s="666"/>
      <c r="AC247" s="666"/>
    </row>
    <row r="248" spans="1:68" x14ac:dyDescent="0.2">
      <c r="A248" s="671"/>
      <c r="B248" s="671"/>
      <c r="C248" s="671"/>
      <c r="D248" s="671"/>
      <c r="E248" s="671"/>
      <c r="F248" s="671"/>
      <c r="G248" s="671"/>
      <c r="H248" s="671"/>
      <c r="I248" s="671"/>
      <c r="J248" s="671"/>
      <c r="K248" s="671"/>
      <c r="L248" s="671"/>
      <c r="M248" s="671"/>
      <c r="N248" s="671"/>
      <c r="O248" s="672"/>
      <c r="P248" s="678" t="s">
        <v>87</v>
      </c>
      <c r="Q248" s="668"/>
      <c r="R248" s="668"/>
      <c r="S248" s="668"/>
      <c r="T248" s="668"/>
      <c r="U248" s="668"/>
      <c r="V248" s="669"/>
      <c r="W248" s="37" t="s">
        <v>68</v>
      </c>
      <c r="X248" s="665">
        <f>IFERROR(SUM(X246:X246),"0")</f>
        <v>13</v>
      </c>
      <c r="Y248" s="665">
        <f>IFERROR(SUM(Y246:Y246),"0")</f>
        <v>15.120000000000001</v>
      </c>
      <c r="Z248" s="37"/>
      <c r="AA248" s="666"/>
      <c r="AB248" s="666"/>
      <c r="AC248" s="666"/>
    </row>
    <row r="249" spans="1:68" ht="14.25" customHeight="1" x14ac:dyDescent="0.25">
      <c r="A249" s="680" t="s">
        <v>410</v>
      </c>
      <c r="B249" s="671"/>
      <c r="C249" s="671"/>
      <c r="D249" s="671"/>
      <c r="E249" s="671"/>
      <c r="F249" s="671"/>
      <c r="G249" s="671"/>
      <c r="H249" s="671"/>
      <c r="I249" s="671"/>
      <c r="J249" s="671"/>
      <c r="K249" s="671"/>
      <c r="L249" s="671"/>
      <c r="M249" s="671"/>
      <c r="N249" s="671"/>
      <c r="O249" s="671"/>
      <c r="P249" s="671"/>
      <c r="Q249" s="671"/>
      <c r="R249" s="671"/>
      <c r="S249" s="671"/>
      <c r="T249" s="671"/>
      <c r="U249" s="671"/>
      <c r="V249" s="671"/>
      <c r="W249" s="671"/>
      <c r="X249" s="671"/>
      <c r="Y249" s="671"/>
      <c r="Z249" s="671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76">
        <v>4680115886681</v>
      </c>
      <c r="E250" s="677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961" t="s">
        <v>413</v>
      </c>
      <c r="Q250" s="682"/>
      <c r="R250" s="682"/>
      <c r="S250" s="682"/>
      <c r="T250" s="683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0"/>
      <c r="B251" s="671"/>
      <c r="C251" s="671"/>
      <c r="D251" s="671"/>
      <c r="E251" s="671"/>
      <c r="F251" s="671"/>
      <c r="G251" s="671"/>
      <c r="H251" s="671"/>
      <c r="I251" s="671"/>
      <c r="J251" s="671"/>
      <c r="K251" s="671"/>
      <c r="L251" s="671"/>
      <c r="M251" s="671"/>
      <c r="N251" s="671"/>
      <c r="O251" s="672"/>
      <c r="P251" s="678" t="s">
        <v>87</v>
      </c>
      <c r="Q251" s="668"/>
      <c r="R251" s="668"/>
      <c r="S251" s="668"/>
      <c r="T251" s="668"/>
      <c r="U251" s="668"/>
      <c r="V251" s="669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1"/>
      <c r="B252" s="671"/>
      <c r="C252" s="671"/>
      <c r="D252" s="671"/>
      <c r="E252" s="671"/>
      <c r="F252" s="671"/>
      <c r="G252" s="671"/>
      <c r="H252" s="671"/>
      <c r="I252" s="671"/>
      <c r="J252" s="671"/>
      <c r="K252" s="671"/>
      <c r="L252" s="671"/>
      <c r="M252" s="671"/>
      <c r="N252" s="671"/>
      <c r="O252" s="672"/>
      <c r="P252" s="678" t="s">
        <v>87</v>
      </c>
      <c r="Q252" s="668"/>
      <c r="R252" s="668"/>
      <c r="S252" s="668"/>
      <c r="T252" s="668"/>
      <c r="U252" s="668"/>
      <c r="V252" s="669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686" t="s">
        <v>415</v>
      </c>
      <c r="B253" s="671"/>
      <c r="C253" s="671"/>
      <c r="D253" s="671"/>
      <c r="E253" s="671"/>
      <c r="F253" s="671"/>
      <c r="G253" s="671"/>
      <c r="H253" s="671"/>
      <c r="I253" s="671"/>
      <c r="J253" s="671"/>
      <c r="K253" s="671"/>
      <c r="L253" s="671"/>
      <c r="M253" s="671"/>
      <c r="N253" s="671"/>
      <c r="O253" s="671"/>
      <c r="P253" s="671"/>
      <c r="Q253" s="671"/>
      <c r="R253" s="671"/>
      <c r="S253" s="671"/>
      <c r="T253" s="671"/>
      <c r="U253" s="671"/>
      <c r="V253" s="671"/>
      <c r="W253" s="671"/>
      <c r="X253" s="671"/>
      <c r="Y253" s="671"/>
      <c r="Z253" s="671"/>
      <c r="AA253" s="658"/>
      <c r="AB253" s="658"/>
      <c r="AC253" s="658"/>
    </row>
    <row r="254" spans="1:68" ht="14.25" customHeight="1" x14ac:dyDescent="0.25">
      <c r="A254" s="680" t="s">
        <v>97</v>
      </c>
      <c r="B254" s="671"/>
      <c r="C254" s="671"/>
      <c r="D254" s="671"/>
      <c r="E254" s="671"/>
      <c r="F254" s="671"/>
      <c r="G254" s="671"/>
      <c r="H254" s="671"/>
      <c r="I254" s="671"/>
      <c r="J254" s="671"/>
      <c r="K254" s="671"/>
      <c r="L254" s="671"/>
      <c r="M254" s="671"/>
      <c r="N254" s="671"/>
      <c r="O254" s="671"/>
      <c r="P254" s="671"/>
      <c r="Q254" s="671"/>
      <c r="R254" s="671"/>
      <c r="S254" s="671"/>
      <c r="T254" s="671"/>
      <c r="U254" s="671"/>
      <c r="V254" s="671"/>
      <c r="W254" s="671"/>
      <c r="X254" s="671"/>
      <c r="Y254" s="671"/>
      <c r="Z254" s="671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76">
        <v>4680115885837</v>
      </c>
      <c r="E255" s="677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9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2"/>
      <c r="R255" s="682"/>
      <c r="S255" s="682"/>
      <c r="T255" s="683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76">
        <v>4680115885806</v>
      </c>
      <c r="E256" s="677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2"/>
      <c r="R256" s="682"/>
      <c r="S256" s="682"/>
      <c r="T256" s="683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76">
        <v>4680115885806</v>
      </c>
      <c r="E257" s="677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82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2"/>
      <c r="R257" s="682"/>
      <c r="S257" s="682"/>
      <c r="T257" s="683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76">
        <v>4680115885851</v>
      </c>
      <c r="E258" s="677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96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2"/>
      <c r="R258" s="682"/>
      <c r="S258" s="682"/>
      <c r="T258" s="683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76">
        <v>4680115885844</v>
      </c>
      <c r="E259" s="677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98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2"/>
      <c r="R259" s="682"/>
      <c r="S259" s="682"/>
      <c r="T259" s="683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76">
        <v>4680115885820</v>
      </c>
      <c r="E260" s="677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2"/>
      <c r="R260" s="682"/>
      <c r="S260" s="682"/>
      <c r="T260" s="683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0"/>
      <c r="B261" s="671"/>
      <c r="C261" s="671"/>
      <c r="D261" s="671"/>
      <c r="E261" s="671"/>
      <c r="F261" s="671"/>
      <c r="G261" s="671"/>
      <c r="H261" s="671"/>
      <c r="I261" s="671"/>
      <c r="J261" s="671"/>
      <c r="K261" s="671"/>
      <c r="L261" s="671"/>
      <c r="M261" s="671"/>
      <c r="N261" s="671"/>
      <c r="O261" s="672"/>
      <c r="P261" s="678" t="s">
        <v>87</v>
      </c>
      <c r="Q261" s="668"/>
      <c r="R261" s="668"/>
      <c r="S261" s="668"/>
      <c r="T261" s="668"/>
      <c r="U261" s="668"/>
      <c r="V261" s="669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1"/>
      <c r="B262" s="671"/>
      <c r="C262" s="671"/>
      <c r="D262" s="671"/>
      <c r="E262" s="671"/>
      <c r="F262" s="671"/>
      <c r="G262" s="671"/>
      <c r="H262" s="671"/>
      <c r="I262" s="671"/>
      <c r="J262" s="671"/>
      <c r="K262" s="671"/>
      <c r="L262" s="671"/>
      <c r="M262" s="671"/>
      <c r="N262" s="671"/>
      <c r="O262" s="672"/>
      <c r="P262" s="678" t="s">
        <v>87</v>
      </c>
      <c r="Q262" s="668"/>
      <c r="R262" s="668"/>
      <c r="S262" s="668"/>
      <c r="T262" s="668"/>
      <c r="U262" s="668"/>
      <c r="V262" s="669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686" t="s">
        <v>433</v>
      </c>
      <c r="B263" s="671"/>
      <c r="C263" s="671"/>
      <c r="D263" s="671"/>
      <c r="E263" s="671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  <c r="T263" s="671"/>
      <c r="U263" s="671"/>
      <c r="V263" s="671"/>
      <c r="W263" s="671"/>
      <c r="X263" s="671"/>
      <c r="Y263" s="671"/>
      <c r="Z263" s="671"/>
      <c r="AA263" s="658"/>
      <c r="AB263" s="658"/>
      <c r="AC263" s="658"/>
    </row>
    <row r="264" spans="1:68" ht="14.25" customHeight="1" x14ac:dyDescent="0.25">
      <c r="A264" s="680" t="s">
        <v>97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76">
        <v>4680115885707</v>
      </c>
      <c r="E265" s="677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1006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2"/>
      <c r="R265" s="682"/>
      <c r="S265" s="682"/>
      <c r="T265" s="683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0"/>
      <c r="B266" s="671"/>
      <c r="C266" s="671"/>
      <c r="D266" s="671"/>
      <c r="E266" s="671"/>
      <c r="F266" s="671"/>
      <c r="G266" s="671"/>
      <c r="H266" s="671"/>
      <c r="I266" s="671"/>
      <c r="J266" s="671"/>
      <c r="K266" s="671"/>
      <c r="L266" s="671"/>
      <c r="M266" s="671"/>
      <c r="N266" s="671"/>
      <c r="O266" s="672"/>
      <c r="P266" s="678" t="s">
        <v>87</v>
      </c>
      <c r="Q266" s="668"/>
      <c r="R266" s="668"/>
      <c r="S266" s="668"/>
      <c r="T266" s="668"/>
      <c r="U266" s="668"/>
      <c r="V266" s="669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1"/>
      <c r="B267" s="671"/>
      <c r="C267" s="671"/>
      <c r="D267" s="671"/>
      <c r="E267" s="671"/>
      <c r="F267" s="671"/>
      <c r="G267" s="671"/>
      <c r="H267" s="671"/>
      <c r="I267" s="671"/>
      <c r="J267" s="671"/>
      <c r="K267" s="671"/>
      <c r="L267" s="671"/>
      <c r="M267" s="671"/>
      <c r="N267" s="671"/>
      <c r="O267" s="672"/>
      <c r="P267" s="678" t="s">
        <v>87</v>
      </c>
      <c r="Q267" s="668"/>
      <c r="R267" s="668"/>
      <c r="S267" s="668"/>
      <c r="T267" s="668"/>
      <c r="U267" s="668"/>
      <c r="V267" s="669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686" t="s">
        <v>437</v>
      </c>
      <c r="B268" s="671"/>
      <c r="C268" s="671"/>
      <c r="D268" s="671"/>
      <c r="E268" s="671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  <c r="T268" s="671"/>
      <c r="U268" s="671"/>
      <c r="V268" s="671"/>
      <c r="W268" s="671"/>
      <c r="X268" s="671"/>
      <c r="Y268" s="671"/>
      <c r="Z268" s="671"/>
      <c r="AA268" s="658"/>
      <c r="AB268" s="658"/>
      <c r="AC268" s="658"/>
    </row>
    <row r="269" spans="1:68" ht="14.25" customHeight="1" x14ac:dyDescent="0.25">
      <c r="A269" s="680" t="s">
        <v>97</v>
      </c>
      <c r="B269" s="671"/>
      <c r="C269" s="671"/>
      <c r="D269" s="671"/>
      <c r="E269" s="671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  <c r="T269" s="671"/>
      <c r="U269" s="671"/>
      <c r="V269" s="671"/>
      <c r="W269" s="671"/>
      <c r="X269" s="671"/>
      <c r="Y269" s="671"/>
      <c r="Z269" s="671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76">
        <v>4607091383423</v>
      </c>
      <c r="E270" s="677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7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2"/>
      <c r="R270" s="682"/>
      <c r="S270" s="682"/>
      <c r="T270" s="683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76">
        <v>4680115885691</v>
      </c>
      <c r="E271" s="677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1004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2"/>
      <c r="R271" s="682"/>
      <c r="S271" s="682"/>
      <c r="T271" s="683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76">
        <v>4680115885660</v>
      </c>
      <c r="E272" s="677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9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2"/>
      <c r="R272" s="682"/>
      <c r="S272" s="682"/>
      <c r="T272" s="683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0"/>
      <c r="B273" s="671"/>
      <c r="C273" s="671"/>
      <c r="D273" s="671"/>
      <c r="E273" s="671"/>
      <c r="F273" s="671"/>
      <c r="G273" s="671"/>
      <c r="H273" s="671"/>
      <c r="I273" s="671"/>
      <c r="J273" s="671"/>
      <c r="K273" s="671"/>
      <c r="L273" s="671"/>
      <c r="M273" s="671"/>
      <c r="N273" s="671"/>
      <c r="O273" s="672"/>
      <c r="P273" s="678" t="s">
        <v>87</v>
      </c>
      <c r="Q273" s="668"/>
      <c r="R273" s="668"/>
      <c r="S273" s="668"/>
      <c r="T273" s="668"/>
      <c r="U273" s="668"/>
      <c r="V273" s="669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1"/>
      <c r="B274" s="671"/>
      <c r="C274" s="671"/>
      <c r="D274" s="671"/>
      <c r="E274" s="671"/>
      <c r="F274" s="671"/>
      <c r="G274" s="671"/>
      <c r="H274" s="671"/>
      <c r="I274" s="671"/>
      <c r="J274" s="671"/>
      <c r="K274" s="671"/>
      <c r="L274" s="671"/>
      <c r="M274" s="671"/>
      <c r="N274" s="671"/>
      <c r="O274" s="672"/>
      <c r="P274" s="678" t="s">
        <v>87</v>
      </c>
      <c r="Q274" s="668"/>
      <c r="R274" s="668"/>
      <c r="S274" s="668"/>
      <c r="T274" s="668"/>
      <c r="U274" s="668"/>
      <c r="V274" s="669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686" t="s">
        <v>446</v>
      </c>
      <c r="B275" s="671"/>
      <c r="C275" s="671"/>
      <c r="D275" s="671"/>
      <c r="E275" s="671"/>
      <c r="F275" s="671"/>
      <c r="G275" s="671"/>
      <c r="H275" s="671"/>
      <c r="I275" s="671"/>
      <c r="J275" s="671"/>
      <c r="K275" s="671"/>
      <c r="L275" s="671"/>
      <c r="M275" s="671"/>
      <c r="N275" s="671"/>
      <c r="O275" s="671"/>
      <c r="P275" s="671"/>
      <c r="Q275" s="671"/>
      <c r="R275" s="671"/>
      <c r="S275" s="671"/>
      <c r="T275" s="671"/>
      <c r="U275" s="671"/>
      <c r="V275" s="671"/>
      <c r="W275" s="671"/>
      <c r="X275" s="671"/>
      <c r="Y275" s="671"/>
      <c r="Z275" s="671"/>
      <c r="AA275" s="658"/>
      <c r="AB275" s="658"/>
      <c r="AC275" s="658"/>
    </row>
    <row r="276" spans="1:68" ht="14.25" customHeight="1" x14ac:dyDescent="0.25">
      <c r="A276" s="680" t="s">
        <v>63</v>
      </c>
      <c r="B276" s="671"/>
      <c r="C276" s="671"/>
      <c r="D276" s="671"/>
      <c r="E276" s="671"/>
      <c r="F276" s="671"/>
      <c r="G276" s="671"/>
      <c r="H276" s="671"/>
      <c r="I276" s="671"/>
      <c r="J276" s="671"/>
      <c r="K276" s="671"/>
      <c r="L276" s="671"/>
      <c r="M276" s="671"/>
      <c r="N276" s="671"/>
      <c r="O276" s="671"/>
      <c r="P276" s="671"/>
      <c r="Q276" s="671"/>
      <c r="R276" s="671"/>
      <c r="S276" s="671"/>
      <c r="T276" s="671"/>
      <c r="U276" s="671"/>
      <c r="V276" s="671"/>
      <c r="W276" s="671"/>
      <c r="X276" s="671"/>
      <c r="Y276" s="671"/>
      <c r="Z276" s="671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76">
        <v>4680115881037</v>
      </c>
      <c r="E277" s="677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913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2"/>
      <c r="R277" s="682"/>
      <c r="S277" s="682"/>
      <c r="T277" s="683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76">
        <v>4680115886186</v>
      </c>
      <c r="E278" s="677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2"/>
      <c r="R278" s="682"/>
      <c r="S278" s="682"/>
      <c r="T278" s="683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6">
        <v>4680115881228</v>
      </c>
      <c r="E279" s="677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83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2"/>
      <c r="R279" s="682"/>
      <c r="S279" s="682"/>
      <c r="T279" s="683"/>
      <c r="U279" s="34"/>
      <c r="V279" s="34"/>
      <c r="W279" s="35" t="s">
        <v>68</v>
      </c>
      <c r="X279" s="663">
        <v>74</v>
      </c>
      <c r="Y279" s="664">
        <f>IFERROR(IF(X279="",0,CEILING((X279/$H279),1)*$H279),"")</f>
        <v>74.399999999999991</v>
      </c>
      <c r="Z279" s="36">
        <f>IFERROR(IF(Y279=0,"",ROUNDUP(Y279/H279,0)*0.00651),"")</f>
        <v>0.20181000000000002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81.77000000000001</v>
      </c>
      <c r="BN279" s="64">
        <f>IFERROR(Y279*I279/H279,"0")</f>
        <v>82.212000000000003</v>
      </c>
      <c r="BO279" s="64">
        <f>IFERROR(1/J279*(X279/H279),"0")</f>
        <v>0.16941391941391945</v>
      </c>
      <c r="BP279" s="64">
        <f>IFERROR(1/J279*(Y279/H279),"0")</f>
        <v>0.17032967032967034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6">
        <v>4680115881211</v>
      </c>
      <c r="E280" s="677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9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2"/>
      <c r="R280" s="682"/>
      <c r="S280" s="682"/>
      <c r="T280" s="683"/>
      <c r="U280" s="34"/>
      <c r="V280" s="34"/>
      <c r="W280" s="35" t="s">
        <v>68</v>
      </c>
      <c r="X280" s="663">
        <v>39</v>
      </c>
      <c r="Y280" s="664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41.925000000000004</v>
      </c>
      <c r="BN280" s="64">
        <f>IFERROR(Y280*I280/H280,"0")</f>
        <v>43.86</v>
      </c>
      <c r="BO280" s="64">
        <f>IFERROR(1/J280*(X280/H280),"0")</f>
        <v>8.9285714285714288E-2</v>
      </c>
      <c r="BP280" s="64">
        <f>IFERROR(1/J280*(Y280/H280),"0")</f>
        <v>9.3406593406593408E-2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76">
        <v>4680115881020</v>
      </c>
      <c r="E281" s="677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94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2"/>
      <c r="R281" s="682"/>
      <c r="S281" s="682"/>
      <c r="T281" s="683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0"/>
      <c r="B282" s="671"/>
      <c r="C282" s="671"/>
      <c r="D282" s="671"/>
      <c r="E282" s="671"/>
      <c r="F282" s="671"/>
      <c r="G282" s="671"/>
      <c r="H282" s="671"/>
      <c r="I282" s="671"/>
      <c r="J282" s="671"/>
      <c r="K282" s="671"/>
      <c r="L282" s="671"/>
      <c r="M282" s="671"/>
      <c r="N282" s="671"/>
      <c r="O282" s="672"/>
      <c r="P282" s="678" t="s">
        <v>87</v>
      </c>
      <c r="Q282" s="668"/>
      <c r="R282" s="668"/>
      <c r="S282" s="668"/>
      <c r="T282" s="668"/>
      <c r="U282" s="668"/>
      <c r="V282" s="669"/>
      <c r="W282" s="37" t="s">
        <v>88</v>
      </c>
      <c r="X282" s="665">
        <f>IFERROR(X277/H277,"0")+IFERROR(X278/H278,"0")+IFERROR(X279/H279,"0")+IFERROR(X280/H280,"0")+IFERROR(X281/H281,"0")</f>
        <v>47.083333333333336</v>
      </c>
      <c r="Y282" s="665">
        <f>IFERROR(Y277/H277,"0")+IFERROR(Y278/H278,"0")+IFERROR(Y279/H279,"0")+IFERROR(Y280/H280,"0")+IFERROR(Y281/H281,"0")</f>
        <v>48</v>
      </c>
      <c r="Z282" s="665">
        <f>IFERROR(IF(Z277="",0,Z277),"0")+IFERROR(IF(Z278="",0,Z278),"0")+IFERROR(IF(Z279="",0,Z279),"0")+IFERROR(IF(Z280="",0,Z280),"0")+IFERROR(IF(Z281="",0,Z281),"0")</f>
        <v>0.31248000000000004</v>
      </c>
      <c r="AA282" s="666"/>
      <c r="AB282" s="666"/>
      <c r="AC282" s="666"/>
    </row>
    <row r="283" spans="1:68" x14ac:dyDescent="0.2">
      <c r="A283" s="671"/>
      <c r="B283" s="671"/>
      <c r="C283" s="671"/>
      <c r="D283" s="671"/>
      <c r="E283" s="671"/>
      <c r="F283" s="671"/>
      <c r="G283" s="671"/>
      <c r="H283" s="671"/>
      <c r="I283" s="671"/>
      <c r="J283" s="671"/>
      <c r="K283" s="671"/>
      <c r="L283" s="671"/>
      <c r="M283" s="671"/>
      <c r="N283" s="671"/>
      <c r="O283" s="672"/>
      <c r="P283" s="678" t="s">
        <v>87</v>
      </c>
      <c r="Q283" s="668"/>
      <c r="R283" s="668"/>
      <c r="S283" s="668"/>
      <c r="T283" s="668"/>
      <c r="U283" s="668"/>
      <c r="V283" s="669"/>
      <c r="W283" s="37" t="s">
        <v>68</v>
      </c>
      <c r="X283" s="665">
        <f>IFERROR(SUM(X277:X281),"0")</f>
        <v>113</v>
      </c>
      <c r="Y283" s="665">
        <f>IFERROR(SUM(Y277:Y281),"0")</f>
        <v>115.19999999999999</v>
      </c>
      <c r="Z283" s="37"/>
      <c r="AA283" s="666"/>
      <c r="AB283" s="666"/>
      <c r="AC283" s="666"/>
    </row>
    <row r="284" spans="1:68" ht="16.5" customHeight="1" x14ac:dyDescent="0.25">
      <c r="A284" s="686" t="s">
        <v>460</v>
      </c>
      <c r="B284" s="671"/>
      <c r="C284" s="671"/>
      <c r="D284" s="671"/>
      <c r="E284" s="671"/>
      <c r="F284" s="671"/>
      <c r="G284" s="671"/>
      <c r="H284" s="671"/>
      <c r="I284" s="671"/>
      <c r="J284" s="671"/>
      <c r="K284" s="671"/>
      <c r="L284" s="671"/>
      <c r="M284" s="671"/>
      <c r="N284" s="671"/>
      <c r="O284" s="671"/>
      <c r="P284" s="671"/>
      <c r="Q284" s="671"/>
      <c r="R284" s="671"/>
      <c r="S284" s="671"/>
      <c r="T284" s="671"/>
      <c r="U284" s="671"/>
      <c r="V284" s="671"/>
      <c r="W284" s="671"/>
      <c r="X284" s="671"/>
      <c r="Y284" s="671"/>
      <c r="Z284" s="671"/>
      <c r="AA284" s="658"/>
      <c r="AB284" s="658"/>
      <c r="AC284" s="658"/>
    </row>
    <row r="285" spans="1:68" ht="14.25" customHeight="1" x14ac:dyDescent="0.25">
      <c r="A285" s="680" t="s">
        <v>97</v>
      </c>
      <c r="B285" s="671"/>
      <c r="C285" s="671"/>
      <c r="D285" s="671"/>
      <c r="E285" s="671"/>
      <c r="F285" s="671"/>
      <c r="G285" s="671"/>
      <c r="H285" s="671"/>
      <c r="I285" s="671"/>
      <c r="J285" s="671"/>
      <c r="K285" s="671"/>
      <c r="L285" s="671"/>
      <c r="M285" s="671"/>
      <c r="N285" s="671"/>
      <c r="O285" s="671"/>
      <c r="P285" s="671"/>
      <c r="Q285" s="671"/>
      <c r="R285" s="671"/>
      <c r="S285" s="671"/>
      <c r="T285" s="671"/>
      <c r="U285" s="671"/>
      <c r="V285" s="671"/>
      <c r="W285" s="671"/>
      <c r="X285" s="671"/>
      <c r="Y285" s="671"/>
      <c r="Z285" s="671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76">
        <v>4607091389296</v>
      </c>
      <c r="E286" s="677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96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2"/>
      <c r="R286" s="682"/>
      <c r="S286" s="682"/>
      <c r="T286" s="683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0"/>
      <c r="B287" s="671"/>
      <c r="C287" s="671"/>
      <c r="D287" s="671"/>
      <c r="E287" s="671"/>
      <c r="F287" s="671"/>
      <c r="G287" s="671"/>
      <c r="H287" s="671"/>
      <c r="I287" s="671"/>
      <c r="J287" s="671"/>
      <c r="K287" s="671"/>
      <c r="L287" s="671"/>
      <c r="M287" s="671"/>
      <c r="N287" s="671"/>
      <c r="O287" s="672"/>
      <c r="P287" s="678" t="s">
        <v>87</v>
      </c>
      <c r="Q287" s="668"/>
      <c r="R287" s="668"/>
      <c r="S287" s="668"/>
      <c r="T287" s="668"/>
      <c r="U287" s="668"/>
      <c r="V287" s="669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1"/>
      <c r="B288" s="671"/>
      <c r="C288" s="671"/>
      <c r="D288" s="671"/>
      <c r="E288" s="671"/>
      <c r="F288" s="671"/>
      <c r="G288" s="671"/>
      <c r="H288" s="671"/>
      <c r="I288" s="671"/>
      <c r="J288" s="671"/>
      <c r="K288" s="671"/>
      <c r="L288" s="671"/>
      <c r="M288" s="671"/>
      <c r="N288" s="671"/>
      <c r="O288" s="672"/>
      <c r="P288" s="678" t="s">
        <v>87</v>
      </c>
      <c r="Q288" s="668"/>
      <c r="R288" s="668"/>
      <c r="S288" s="668"/>
      <c r="T288" s="668"/>
      <c r="U288" s="668"/>
      <c r="V288" s="669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80" t="s">
        <v>144</v>
      </c>
      <c r="B289" s="671"/>
      <c r="C289" s="671"/>
      <c r="D289" s="671"/>
      <c r="E289" s="671"/>
      <c r="F289" s="671"/>
      <c r="G289" s="671"/>
      <c r="H289" s="671"/>
      <c r="I289" s="671"/>
      <c r="J289" s="671"/>
      <c r="K289" s="671"/>
      <c r="L289" s="671"/>
      <c r="M289" s="671"/>
      <c r="N289" s="671"/>
      <c r="O289" s="671"/>
      <c r="P289" s="671"/>
      <c r="Q289" s="671"/>
      <c r="R289" s="671"/>
      <c r="S289" s="671"/>
      <c r="T289" s="671"/>
      <c r="U289" s="671"/>
      <c r="V289" s="671"/>
      <c r="W289" s="671"/>
      <c r="X289" s="671"/>
      <c r="Y289" s="671"/>
      <c r="Z289" s="671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76">
        <v>4680115880344</v>
      </c>
      <c r="E290" s="677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10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2"/>
      <c r="R290" s="682"/>
      <c r="S290" s="682"/>
      <c r="T290" s="683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0"/>
      <c r="B291" s="671"/>
      <c r="C291" s="671"/>
      <c r="D291" s="671"/>
      <c r="E291" s="671"/>
      <c r="F291" s="671"/>
      <c r="G291" s="671"/>
      <c r="H291" s="671"/>
      <c r="I291" s="671"/>
      <c r="J291" s="671"/>
      <c r="K291" s="671"/>
      <c r="L291" s="671"/>
      <c r="M291" s="671"/>
      <c r="N291" s="671"/>
      <c r="O291" s="672"/>
      <c r="P291" s="678" t="s">
        <v>87</v>
      </c>
      <c r="Q291" s="668"/>
      <c r="R291" s="668"/>
      <c r="S291" s="668"/>
      <c r="T291" s="668"/>
      <c r="U291" s="668"/>
      <c r="V291" s="669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1"/>
      <c r="B292" s="671"/>
      <c r="C292" s="671"/>
      <c r="D292" s="671"/>
      <c r="E292" s="671"/>
      <c r="F292" s="671"/>
      <c r="G292" s="671"/>
      <c r="H292" s="671"/>
      <c r="I292" s="671"/>
      <c r="J292" s="671"/>
      <c r="K292" s="671"/>
      <c r="L292" s="671"/>
      <c r="M292" s="671"/>
      <c r="N292" s="671"/>
      <c r="O292" s="672"/>
      <c r="P292" s="678" t="s">
        <v>87</v>
      </c>
      <c r="Q292" s="668"/>
      <c r="R292" s="668"/>
      <c r="S292" s="668"/>
      <c r="T292" s="668"/>
      <c r="U292" s="668"/>
      <c r="V292" s="669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80" t="s">
        <v>63</v>
      </c>
      <c r="B293" s="671"/>
      <c r="C293" s="671"/>
      <c r="D293" s="671"/>
      <c r="E293" s="671"/>
      <c r="F293" s="671"/>
      <c r="G293" s="671"/>
      <c r="H293" s="671"/>
      <c r="I293" s="671"/>
      <c r="J293" s="671"/>
      <c r="K293" s="671"/>
      <c r="L293" s="671"/>
      <c r="M293" s="671"/>
      <c r="N293" s="671"/>
      <c r="O293" s="671"/>
      <c r="P293" s="671"/>
      <c r="Q293" s="671"/>
      <c r="R293" s="671"/>
      <c r="S293" s="671"/>
      <c r="T293" s="671"/>
      <c r="U293" s="671"/>
      <c r="V293" s="671"/>
      <c r="W293" s="671"/>
      <c r="X293" s="671"/>
      <c r="Y293" s="671"/>
      <c r="Z293" s="671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76">
        <v>4680115884618</v>
      </c>
      <c r="E294" s="677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77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2"/>
      <c r="R294" s="682"/>
      <c r="S294" s="682"/>
      <c r="T294" s="683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0"/>
      <c r="B295" s="671"/>
      <c r="C295" s="671"/>
      <c r="D295" s="671"/>
      <c r="E295" s="671"/>
      <c r="F295" s="671"/>
      <c r="G295" s="671"/>
      <c r="H295" s="671"/>
      <c r="I295" s="671"/>
      <c r="J295" s="671"/>
      <c r="K295" s="671"/>
      <c r="L295" s="671"/>
      <c r="M295" s="671"/>
      <c r="N295" s="671"/>
      <c r="O295" s="672"/>
      <c r="P295" s="678" t="s">
        <v>87</v>
      </c>
      <c r="Q295" s="668"/>
      <c r="R295" s="668"/>
      <c r="S295" s="668"/>
      <c r="T295" s="668"/>
      <c r="U295" s="668"/>
      <c r="V295" s="669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1"/>
      <c r="B296" s="671"/>
      <c r="C296" s="671"/>
      <c r="D296" s="671"/>
      <c r="E296" s="671"/>
      <c r="F296" s="671"/>
      <c r="G296" s="671"/>
      <c r="H296" s="671"/>
      <c r="I296" s="671"/>
      <c r="J296" s="671"/>
      <c r="K296" s="671"/>
      <c r="L296" s="671"/>
      <c r="M296" s="671"/>
      <c r="N296" s="671"/>
      <c r="O296" s="672"/>
      <c r="P296" s="678" t="s">
        <v>87</v>
      </c>
      <c r="Q296" s="668"/>
      <c r="R296" s="668"/>
      <c r="S296" s="668"/>
      <c r="T296" s="668"/>
      <c r="U296" s="668"/>
      <c r="V296" s="669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686" t="s">
        <v>470</v>
      </c>
      <c r="B297" s="671"/>
      <c r="C297" s="671"/>
      <c r="D297" s="671"/>
      <c r="E297" s="671"/>
      <c r="F297" s="671"/>
      <c r="G297" s="671"/>
      <c r="H297" s="671"/>
      <c r="I297" s="671"/>
      <c r="J297" s="671"/>
      <c r="K297" s="671"/>
      <c r="L297" s="671"/>
      <c r="M297" s="671"/>
      <c r="N297" s="671"/>
      <c r="O297" s="671"/>
      <c r="P297" s="671"/>
      <c r="Q297" s="671"/>
      <c r="R297" s="671"/>
      <c r="S297" s="671"/>
      <c r="T297" s="671"/>
      <c r="U297" s="671"/>
      <c r="V297" s="671"/>
      <c r="W297" s="671"/>
      <c r="X297" s="671"/>
      <c r="Y297" s="671"/>
      <c r="Z297" s="671"/>
      <c r="AA297" s="658"/>
      <c r="AB297" s="658"/>
      <c r="AC297" s="658"/>
    </row>
    <row r="298" spans="1:68" ht="14.25" customHeight="1" x14ac:dyDescent="0.25">
      <c r="A298" s="680" t="s">
        <v>63</v>
      </c>
      <c r="B298" s="671"/>
      <c r="C298" s="671"/>
      <c r="D298" s="671"/>
      <c r="E298" s="671"/>
      <c r="F298" s="671"/>
      <c r="G298" s="671"/>
      <c r="H298" s="671"/>
      <c r="I298" s="671"/>
      <c r="J298" s="671"/>
      <c r="K298" s="671"/>
      <c r="L298" s="671"/>
      <c r="M298" s="671"/>
      <c r="N298" s="671"/>
      <c r="O298" s="671"/>
      <c r="P298" s="671"/>
      <c r="Q298" s="671"/>
      <c r="R298" s="671"/>
      <c r="S298" s="671"/>
      <c r="T298" s="671"/>
      <c r="U298" s="671"/>
      <c r="V298" s="671"/>
      <c r="W298" s="671"/>
      <c r="X298" s="671"/>
      <c r="Y298" s="671"/>
      <c r="Z298" s="671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76">
        <v>4680115880511</v>
      </c>
      <c r="E299" s="677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6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2"/>
      <c r="R299" s="682"/>
      <c r="S299" s="682"/>
      <c r="T299" s="683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0"/>
      <c r="B300" s="671"/>
      <c r="C300" s="671"/>
      <c r="D300" s="671"/>
      <c r="E300" s="671"/>
      <c r="F300" s="671"/>
      <c r="G300" s="671"/>
      <c r="H300" s="671"/>
      <c r="I300" s="671"/>
      <c r="J300" s="671"/>
      <c r="K300" s="671"/>
      <c r="L300" s="671"/>
      <c r="M300" s="671"/>
      <c r="N300" s="671"/>
      <c r="O300" s="672"/>
      <c r="P300" s="678" t="s">
        <v>87</v>
      </c>
      <c r="Q300" s="668"/>
      <c r="R300" s="668"/>
      <c r="S300" s="668"/>
      <c r="T300" s="668"/>
      <c r="U300" s="668"/>
      <c r="V300" s="669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1"/>
      <c r="B301" s="671"/>
      <c r="C301" s="671"/>
      <c r="D301" s="671"/>
      <c r="E301" s="671"/>
      <c r="F301" s="671"/>
      <c r="G301" s="671"/>
      <c r="H301" s="671"/>
      <c r="I301" s="671"/>
      <c r="J301" s="671"/>
      <c r="K301" s="671"/>
      <c r="L301" s="671"/>
      <c r="M301" s="671"/>
      <c r="N301" s="671"/>
      <c r="O301" s="672"/>
      <c r="P301" s="678" t="s">
        <v>87</v>
      </c>
      <c r="Q301" s="668"/>
      <c r="R301" s="668"/>
      <c r="S301" s="668"/>
      <c r="T301" s="668"/>
      <c r="U301" s="668"/>
      <c r="V301" s="669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686" t="s">
        <v>474</v>
      </c>
      <c r="B302" s="671"/>
      <c r="C302" s="671"/>
      <c r="D302" s="671"/>
      <c r="E302" s="671"/>
      <c r="F302" s="671"/>
      <c r="G302" s="671"/>
      <c r="H302" s="671"/>
      <c r="I302" s="671"/>
      <c r="J302" s="671"/>
      <c r="K302" s="671"/>
      <c r="L302" s="671"/>
      <c r="M302" s="671"/>
      <c r="N302" s="671"/>
      <c r="O302" s="671"/>
      <c r="P302" s="671"/>
      <c r="Q302" s="671"/>
      <c r="R302" s="671"/>
      <c r="S302" s="671"/>
      <c r="T302" s="671"/>
      <c r="U302" s="671"/>
      <c r="V302" s="671"/>
      <c r="W302" s="671"/>
      <c r="X302" s="671"/>
      <c r="Y302" s="671"/>
      <c r="Z302" s="671"/>
      <c r="AA302" s="658"/>
      <c r="AB302" s="658"/>
      <c r="AC302" s="658"/>
    </row>
    <row r="303" spans="1:68" ht="14.25" customHeight="1" x14ac:dyDescent="0.25">
      <c r="A303" s="680" t="s">
        <v>97</v>
      </c>
      <c r="B303" s="671"/>
      <c r="C303" s="671"/>
      <c r="D303" s="671"/>
      <c r="E303" s="671"/>
      <c r="F303" s="671"/>
      <c r="G303" s="671"/>
      <c r="H303" s="671"/>
      <c r="I303" s="671"/>
      <c r="J303" s="671"/>
      <c r="K303" s="671"/>
      <c r="L303" s="671"/>
      <c r="M303" s="671"/>
      <c r="N303" s="671"/>
      <c r="O303" s="671"/>
      <c r="P303" s="671"/>
      <c r="Q303" s="671"/>
      <c r="R303" s="671"/>
      <c r="S303" s="671"/>
      <c r="T303" s="671"/>
      <c r="U303" s="671"/>
      <c r="V303" s="671"/>
      <c r="W303" s="671"/>
      <c r="X303" s="671"/>
      <c r="Y303" s="671"/>
      <c r="Z303" s="671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76">
        <v>4680115883413</v>
      </c>
      <c r="E304" s="677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5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2"/>
      <c r="R304" s="682"/>
      <c r="S304" s="682"/>
      <c r="T304" s="683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0"/>
      <c r="B305" s="671"/>
      <c r="C305" s="671"/>
      <c r="D305" s="671"/>
      <c r="E305" s="671"/>
      <c r="F305" s="671"/>
      <c r="G305" s="671"/>
      <c r="H305" s="671"/>
      <c r="I305" s="671"/>
      <c r="J305" s="671"/>
      <c r="K305" s="671"/>
      <c r="L305" s="671"/>
      <c r="M305" s="671"/>
      <c r="N305" s="671"/>
      <c r="O305" s="672"/>
      <c r="P305" s="678" t="s">
        <v>87</v>
      </c>
      <c r="Q305" s="668"/>
      <c r="R305" s="668"/>
      <c r="S305" s="668"/>
      <c r="T305" s="668"/>
      <c r="U305" s="668"/>
      <c r="V305" s="669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1"/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2"/>
      <c r="P306" s="678" t="s">
        <v>87</v>
      </c>
      <c r="Q306" s="668"/>
      <c r="R306" s="668"/>
      <c r="S306" s="668"/>
      <c r="T306" s="668"/>
      <c r="U306" s="668"/>
      <c r="V306" s="669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80" t="s">
        <v>144</v>
      </c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76">
        <v>4607091389845</v>
      </c>
      <c r="E308" s="677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91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2"/>
      <c r="R308" s="682"/>
      <c r="S308" s="682"/>
      <c r="T308" s="683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76">
        <v>4680115882881</v>
      </c>
      <c r="E309" s="677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4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2"/>
      <c r="R309" s="682"/>
      <c r="S309" s="682"/>
      <c r="T309" s="683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0"/>
      <c r="B310" s="671"/>
      <c r="C310" s="671"/>
      <c r="D310" s="671"/>
      <c r="E310" s="671"/>
      <c r="F310" s="671"/>
      <c r="G310" s="671"/>
      <c r="H310" s="671"/>
      <c r="I310" s="671"/>
      <c r="J310" s="671"/>
      <c r="K310" s="671"/>
      <c r="L310" s="671"/>
      <c r="M310" s="671"/>
      <c r="N310" s="671"/>
      <c r="O310" s="672"/>
      <c r="P310" s="678" t="s">
        <v>87</v>
      </c>
      <c r="Q310" s="668"/>
      <c r="R310" s="668"/>
      <c r="S310" s="668"/>
      <c r="T310" s="668"/>
      <c r="U310" s="668"/>
      <c r="V310" s="669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1"/>
      <c r="B311" s="671"/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72"/>
      <c r="P311" s="678" t="s">
        <v>87</v>
      </c>
      <c r="Q311" s="668"/>
      <c r="R311" s="668"/>
      <c r="S311" s="668"/>
      <c r="T311" s="668"/>
      <c r="U311" s="668"/>
      <c r="V311" s="669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686" t="s">
        <v>482</v>
      </c>
      <c r="B312" s="671"/>
      <c r="C312" s="671"/>
      <c r="D312" s="671"/>
      <c r="E312" s="671"/>
      <c r="F312" s="671"/>
      <c r="G312" s="671"/>
      <c r="H312" s="671"/>
      <c r="I312" s="671"/>
      <c r="J312" s="671"/>
      <c r="K312" s="671"/>
      <c r="L312" s="671"/>
      <c r="M312" s="671"/>
      <c r="N312" s="671"/>
      <c r="O312" s="671"/>
      <c r="P312" s="671"/>
      <c r="Q312" s="671"/>
      <c r="R312" s="671"/>
      <c r="S312" s="671"/>
      <c r="T312" s="671"/>
      <c r="U312" s="671"/>
      <c r="V312" s="671"/>
      <c r="W312" s="671"/>
      <c r="X312" s="671"/>
      <c r="Y312" s="671"/>
      <c r="Z312" s="671"/>
      <c r="AA312" s="658"/>
      <c r="AB312" s="658"/>
      <c r="AC312" s="658"/>
    </row>
    <row r="313" spans="1:68" ht="14.25" customHeight="1" x14ac:dyDescent="0.25">
      <c r="A313" s="680" t="s">
        <v>97</v>
      </c>
      <c r="B313" s="671"/>
      <c r="C313" s="671"/>
      <c r="D313" s="671"/>
      <c r="E313" s="671"/>
      <c r="F313" s="671"/>
      <c r="G313" s="671"/>
      <c r="H313" s="671"/>
      <c r="I313" s="671"/>
      <c r="J313" s="671"/>
      <c r="K313" s="671"/>
      <c r="L313" s="671"/>
      <c r="M313" s="671"/>
      <c r="N313" s="671"/>
      <c r="O313" s="671"/>
      <c r="P313" s="671"/>
      <c r="Q313" s="671"/>
      <c r="R313" s="671"/>
      <c r="S313" s="671"/>
      <c r="T313" s="671"/>
      <c r="U313" s="671"/>
      <c r="V313" s="671"/>
      <c r="W313" s="671"/>
      <c r="X313" s="671"/>
      <c r="Y313" s="671"/>
      <c r="Z313" s="671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76">
        <v>4680115883703</v>
      </c>
      <c r="E314" s="677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82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2"/>
      <c r="R314" s="682"/>
      <c r="S314" s="682"/>
      <c r="T314" s="683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0"/>
      <c r="B315" s="671"/>
      <c r="C315" s="671"/>
      <c r="D315" s="671"/>
      <c r="E315" s="671"/>
      <c r="F315" s="671"/>
      <c r="G315" s="671"/>
      <c r="H315" s="671"/>
      <c r="I315" s="671"/>
      <c r="J315" s="671"/>
      <c r="K315" s="671"/>
      <c r="L315" s="671"/>
      <c r="M315" s="671"/>
      <c r="N315" s="671"/>
      <c r="O315" s="672"/>
      <c r="P315" s="678" t="s">
        <v>87</v>
      </c>
      <c r="Q315" s="668"/>
      <c r="R315" s="668"/>
      <c r="S315" s="668"/>
      <c r="T315" s="668"/>
      <c r="U315" s="668"/>
      <c r="V315" s="669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1"/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72"/>
      <c r="P316" s="678" t="s">
        <v>87</v>
      </c>
      <c r="Q316" s="668"/>
      <c r="R316" s="668"/>
      <c r="S316" s="668"/>
      <c r="T316" s="668"/>
      <c r="U316" s="668"/>
      <c r="V316" s="669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686" t="s">
        <v>487</v>
      </c>
      <c r="B317" s="671"/>
      <c r="C317" s="671"/>
      <c r="D317" s="671"/>
      <c r="E317" s="671"/>
      <c r="F317" s="671"/>
      <c r="G317" s="671"/>
      <c r="H317" s="671"/>
      <c r="I317" s="671"/>
      <c r="J317" s="671"/>
      <c r="K317" s="671"/>
      <c r="L317" s="671"/>
      <c r="M317" s="671"/>
      <c r="N317" s="671"/>
      <c r="O317" s="671"/>
      <c r="P317" s="671"/>
      <c r="Q317" s="671"/>
      <c r="R317" s="671"/>
      <c r="S317" s="671"/>
      <c r="T317" s="671"/>
      <c r="U317" s="671"/>
      <c r="V317" s="671"/>
      <c r="W317" s="671"/>
      <c r="X317" s="671"/>
      <c r="Y317" s="671"/>
      <c r="Z317" s="671"/>
      <c r="AA317" s="658"/>
      <c r="AB317" s="658"/>
      <c r="AC317" s="658"/>
    </row>
    <row r="318" spans="1:68" ht="14.25" customHeight="1" x14ac:dyDescent="0.25">
      <c r="A318" s="680" t="s">
        <v>97</v>
      </c>
      <c r="B318" s="671"/>
      <c r="C318" s="671"/>
      <c r="D318" s="671"/>
      <c r="E318" s="671"/>
      <c r="F318" s="671"/>
      <c r="G318" s="671"/>
      <c r="H318" s="671"/>
      <c r="I318" s="671"/>
      <c r="J318" s="671"/>
      <c r="K318" s="671"/>
      <c r="L318" s="671"/>
      <c r="M318" s="671"/>
      <c r="N318" s="671"/>
      <c r="O318" s="671"/>
      <c r="P318" s="671"/>
      <c r="Q318" s="671"/>
      <c r="R318" s="671"/>
      <c r="S318" s="671"/>
      <c r="T318" s="671"/>
      <c r="U318" s="671"/>
      <c r="V318" s="671"/>
      <c r="W318" s="671"/>
      <c r="X318" s="671"/>
      <c r="Y318" s="671"/>
      <c r="Z318" s="671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76">
        <v>4680115885615</v>
      </c>
      <c r="E319" s="677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69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2"/>
      <c r="R319" s="682"/>
      <c r="S319" s="682"/>
      <c r="T319" s="683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76">
        <v>4680115885554</v>
      </c>
      <c r="E320" s="677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2"/>
      <c r="R320" s="682"/>
      <c r="S320" s="682"/>
      <c r="T320" s="683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76">
        <v>4680115885554</v>
      </c>
      <c r="E321" s="677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78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2"/>
      <c r="R321" s="682"/>
      <c r="S321" s="682"/>
      <c r="T321" s="683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76">
        <v>4680115885646</v>
      </c>
      <c r="E322" s="677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2"/>
      <c r="R322" s="682"/>
      <c r="S322" s="682"/>
      <c r="T322" s="683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76">
        <v>4680115885622</v>
      </c>
      <c r="E323" s="677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78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2"/>
      <c r="R323" s="682"/>
      <c r="S323" s="682"/>
      <c r="T323" s="683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76">
        <v>4680115885608</v>
      </c>
      <c r="E324" s="677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2"/>
      <c r="R324" s="682"/>
      <c r="S324" s="682"/>
      <c r="T324" s="683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0"/>
      <c r="B325" s="671"/>
      <c r="C325" s="671"/>
      <c r="D325" s="671"/>
      <c r="E325" s="671"/>
      <c r="F325" s="671"/>
      <c r="G325" s="671"/>
      <c r="H325" s="671"/>
      <c r="I325" s="671"/>
      <c r="J325" s="671"/>
      <c r="K325" s="671"/>
      <c r="L325" s="671"/>
      <c r="M325" s="671"/>
      <c r="N325" s="671"/>
      <c r="O325" s="672"/>
      <c r="P325" s="678" t="s">
        <v>87</v>
      </c>
      <c r="Q325" s="668"/>
      <c r="R325" s="668"/>
      <c r="S325" s="668"/>
      <c r="T325" s="668"/>
      <c r="U325" s="668"/>
      <c r="V325" s="669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1"/>
      <c r="B326" s="671"/>
      <c r="C326" s="671"/>
      <c r="D326" s="671"/>
      <c r="E326" s="671"/>
      <c r="F326" s="671"/>
      <c r="G326" s="671"/>
      <c r="H326" s="671"/>
      <c r="I326" s="671"/>
      <c r="J326" s="671"/>
      <c r="K326" s="671"/>
      <c r="L326" s="671"/>
      <c r="M326" s="671"/>
      <c r="N326" s="671"/>
      <c r="O326" s="672"/>
      <c r="P326" s="678" t="s">
        <v>87</v>
      </c>
      <c r="Q326" s="668"/>
      <c r="R326" s="668"/>
      <c r="S326" s="668"/>
      <c r="T326" s="668"/>
      <c r="U326" s="668"/>
      <c r="V326" s="669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80" t="s">
        <v>144</v>
      </c>
      <c r="B327" s="671"/>
      <c r="C327" s="671"/>
      <c r="D327" s="671"/>
      <c r="E327" s="671"/>
      <c r="F327" s="671"/>
      <c r="G327" s="671"/>
      <c r="H327" s="671"/>
      <c r="I327" s="671"/>
      <c r="J327" s="671"/>
      <c r="K327" s="671"/>
      <c r="L327" s="671"/>
      <c r="M327" s="671"/>
      <c r="N327" s="671"/>
      <c r="O327" s="671"/>
      <c r="P327" s="671"/>
      <c r="Q327" s="671"/>
      <c r="R327" s="671"/>
      <c r="S327" s="671"/>
      <c r="T327" s="671"/>
      <c r="U327" s="671"/>
      <c r="V327" s="671"/>
      <c r="W327" s="671"/>
      <c r="X327" s="671"/>
      <c r="Y327" s="671"/>
      <c r="Z327" s="671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76">
        <v>4607091387193</v>
      </c>
      <c r="E328" s="677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10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2"/>
      <c r="R328" s="682"/>
      <c r="S328" s="682"/>
      <c r="T328" s="683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76">
        <v>4607091387230</v>
      </c>
      <c r="E329" s="677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10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2"/>
      <c r="R329" s="682"/>
      <c r="S329" s="682"/>
      <c r="T329" s="683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76">
        <v>4607091387292</v>
      </c>
      <c r="E330" s="677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2"/>
      <c r="R330" s="682"/>
      <c r="S330" s="682"/>
      <c r="T330" s="683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76">
        <v>4607091387285</v>
      </c>
      <c r="E331" s="677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10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2"/>
      <c r="R331" s="682"/>
      <c r="S331" s="682"/>
      <c r="T331" s="683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0"/>
      <c r="B332" s="671"/>
      <c r="C332" s="671"/>
      <c r="D332" s="671"/>
      <c r="E332" s="671"/>
      <c r="F332" s="671"/>
      <c r="G332" s="671"/>
      <c r="H332" s="671"/>
      <c r="I332" s="671"/>
      <c r="J332" s="671"/>
      <c r="K332" s="671"/>
      <c r="L332" s="671"/>
      <c r="M332" s="671"/>
      <c r="N332" s="671"/>
      <c r="O332" s="672"/>
      <c r="P332" s="678" t="s">
        <v>87</v>
      </c>
      <c r="Q332" s="668"/>
      <c r="R332" s="668"/>
      <c r="S332" s="668"/>
      <c r="T332" s="668"/>
      <c r="U332" s="668"/>
      <c r="V332" s="669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1"/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2"/>
      <c r="P333" s="678" t="s">
        <v>87</v>
      </c>
      <c r="Q333" s="668"/>
      <c r="R333" s="668"/>
      <c r="S333" s="668"/>
      <c r="T333" s="668"/>
      <c r="U333" s="668"/>
      <c r="V333" s="669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80" t="s">
        <v>63</v>
      </c>
      <c r="B334" s="671"/>
      <c r="C334" s="671"/>
      <c r="D334" s="671"/>
      <c r="E334" s="671"/>
      <c r="F334" s="671"/>
      <c r="G334" s="671"/>
      <c r="H334" s="671"/>
      <c r="I334" s="671"/>
      <c r="J334" s="671"/>
      <c r="K334" s="671"/>
      <c r="L334" s="671"/>
      <c r="M334" s="671"/>
      <c r="N334" s="671"/>
      <c r="O334" s="671"/>
      <c r="P334" s="671"/>
      <c r="Q334" s="671"/>
      <c r="R334" s="671"/>
      <c r="S334" s="671"/>
      <c r="T334" s="671"/>
      <c r="U334" s="671"/>
      <c r="V334" s="671"/>
      <c r="W334" s="671"/>
      <c r="X334" s="671"/>
      <c r="Y334" s="671"/>
      <c r="Z334" s="671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76">
        <v>4607091387766</v>
      </c>
      <c r="E335" s="677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78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2"/>
      <c r="R335" s="682"/>
      <c r="S335" s="682"/>
      <c r="T335" s="683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76">
        <v>4607091387957</v>
      </c>
      <c r="E336" s="677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76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2"/>
      <c r="R336" s="682"/>
      <c r="S336" s="682"/>
      <c r="T336" s="683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76">
        <v>4607091387964</v>
      </c>
      <c r="E337" s="677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9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2"/>
      <c r="R337" s="682"/>
      <c r="S337" s="682"/>
      <c r="T337" s="683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76">
        <v>4680115884588</v>
      </c>
      <c r="E338" s="677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69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2"/>
      <c r="R338" s="682"/>
      <c r="S338" s="682"/>
      <c r="T338" s="683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76">
        <v>4607091387513</v>
      </c>
      <c r="E339" s="677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97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2"/>
      <c r="R339" s="682"/>
      <c r="S339" s="682"/>
      <c r="T339" s="683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0"/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2"/>
      <c r="P340" s="678" t="s">
        <v>87</v>
      </c>
      <c r="Q340" s="668"/>
      <c r="R340" s="668"/>
      <c r="S340" s="668"/>
      <c r="T340" s="668"/>
      <c r="U340" s="668"/>
      <c r="V340" s="669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1"/>
      <c r="B341" s="671"/>
      <c r="C341" s="671"/>
      <c r="D341" s="671"/>
      <c r="E341" s="671"/>
      <c r="F341" s="671"/>
      <c r="G341" s="671"/>
      <c r="H341" s="671"/>
      <c r="I341" s="671"/>
      <c r="J341" s="671"/>
      <c r="K341" s="671"/>
      <c r="L341" s="671"/>
      <c r="M341" s="671"/>
      <c r="N341" s="671"/>
      <c r="O341" s="672"/>
      <c r="P341" s="678" t="s">
        <v>87</v>
      </c>
      <c r="Q341" s="668"/>
      <c r="R341" s="668"/>
      <c r="S341" s="668"/>
      <c r="T341" s="668"/>
      <c r="U341" s="668"/>
      <c r="V341" s="669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80" t="s">
        <v>170</v>
      </c>
      <c r="B342" s="671"/>
      <c r="C342" s="671"/>
      <c r="D342" s="671"/>
      <c r="E342" s="671"/>
      <c r="F342" s="671"/>
      <c r="G342" s="671"/>
      <c r="H342" s="671"/>
      <c r="I342" s="671"/>
      <c r="J342" s="671"/>
      <c r="K342" s="671"/>
      <c r="L342" s="671"/>
      <c r="M342" s="671"/>
      <c r="N342" s="671"/>
      <c r="O342" s="671"/>
      <c r="P342" s="671"/>
      <c r="Q342" s="671"/>
      <c r="R342" s="671"/>
      <c r="S342" s="671"/>
      <c r="T342" s="671"/>
      <c r="U342" s="671"/>
      <c r="V342" s="671"/>
      <c r="W342" s="671"/>
      <c r="X342" s="671"/>
      <c r="Y342" s="671"/>
      <c r="Z342" s="671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76">
        <v>4607091380880</v>
      </c>
      <c r="E343" s="677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8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2"/>
      <c r="R343" s="682"/>
      <c r="S343" s="682"/>
      <c r="T343" s="683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6">
        <v>4607091384482</v>
      </c>
      <c r="E344" s="677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7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2"/>
      <c r="R344" s="682"/>
      <c r="S344" s="682"/>
      <c r="T344" s="683"/>
      <c r="U344" s="34"/>
      <c r="V344" s="34"/>
      <c r="W344" s="35" t="s">
        <v>68</v>
      </c>
      <c r="X344" s="663">
        <v>214</v>
      </c>
      <c r="Y344" s="664">
        <f>IFERROR(IF(X344="",0,CEILING((X344/$H344),1)*$H344),"")</f>
        <v>218.4</v>
      </c>
      <c r="Z344" s="36">
        <f>IFERROR(IF(Y344=0,"",ROUNDUP(Y344/H344,0)*0.01898),"")</f>
        <v>0.53144000000000002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228.23923076923077</v>
      </c>
      <c r="BN344" s="64">
        <f>IFERROR(Y344*I344/H344,"0")</f>
        <v>232.93200000000004</v>
      </c>
      <c r="BO344" s="64">
        <f>IFERROR(1/J344*(X344/H344),"0")</f>
        <v>0.42868589743589747</v>
      </c>
      <c r="BP344" s="64">
        <f>IFERROR(1/J344*(Y344/H344),"0")</f>
        <v>0.4375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76">
        <v>4607091380897</v>
      </c>
      <c r="E345" s="677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2"/>
      <c r="R345" s="682"/>
      <c r="S345" s="682"/>
      <c r="T345" s="683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0"/>
      <c r="B346" s="671"/>
      <c r="C346" s="671"/>
      <c r="D346" s="671"/>
      <c r="E346" s="671"/>
      <c r="F346" s="671"/>
      <c r="G346" s="671"/>
      <c r="H346" s="671"/>
      <c r="I346" s="671"/>
      <c r="J346" s="671"/>
      <c r="K346" s="671"/>
      <c r="L346" s="671"/>
      <c r="M346" s="671"/>
      <c r="N346" s="671"/>
      <c r="O346" s="672"/>
      <c r="P346" s="678" t="s">
        <v>87</v>
      </c>
      <c r="Q346" s="668"/>
      <c r="R346" s="668"/>
      <c r="S346" s="668"/>
      <c r="T346" s="668"/>
      <c r="U346" s="668"/>
      <c r="V346" s="669"/>
      <c r="W346" s="37" t="s">
        <v>88</v>
      </c>
      <c r="X346" s="665">
        <f>IFERROR(X343/H343,"0")+IFERROR(X344/H344,"0")+IFERROR(X345/H345,"0")</f>
        <v>27.435897435897438</v>
      </c>
      <c r="Y346" s="665">
        <f>IFERROR(Y343/H343,"0")+IFERROR(Y344/H344,"0")+IFERROR(Y345/H345,"0")</f>
        <v>28</v>
      </c>
      <c r="Z346" s="665">
        <f>IFERROR(IF(Z343="",0,Z343),"0")+IFERROR(IF(Z344="",0,Z344),"0")+IFERROR(IF(Z345="",0,Z345),"0")</f>
        <v>0.53144000000000002</v>
      </c>
      <c r="AA346" s="666"/>
      <c r="AB346" s="666"/>
      <c r="AC346" s="666"/>
    </row>
    <row r="347" spans="1:68" x14ac:dyDescent="0.2">
      <c r="A347" s="671"/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2"/>
      <c r="P347" s="678" t="s">
        <v>87</v>
      </c>
      <c r="Q347" s="668"/>
      <c r="R347" s="668"/>
      <c r="S347" s="668"/>
      <c r="T347" s="668"/>
      <c r="U347" s="668"/>
      <c r="V347" s="669"/>
      <c r="W347" s="37" t="s">
        <v>68</v>
      </c>
      <c r="X347" s="665">
        <f>IFERROR(SUM(X343:X345),"0")</f>
        <v>214</v>
      </c>
      <c r="Y347" s="665">
        <f>IFERROR(SUM(Y343:Y345),"0")</f>
        <v>218.4</v>
      </c>
      <c r="Z347" s="37"/>
      <c r="AA347" s="666"/>
      <c r="AB347" s="666"/>
      <c r="AC347" s="666"/>
    </row>
    <row r="348" spans="1:68" ht="14.25" customHeight="1" x14ac:dyDescent="0.25">
      <c r="A348" s="680" t="s">
        <v>89</v>
      </c>
      <c r="B348" s="671"/>
      <c r="C348" s="671"/>
      <c r="D348" s="671"/>
      <c r="E348" s="671"/>
      <c r="F348" s="671"/>
      <c r="G348" s="671"/>
      <c r="H348" s="671"/>
      <c r="I348" s="671"/>
      <c r="J348" s="671"/>
      <c r="K348" s="671"/>
      <c r="L348" s="671"/>
      <c r="M348" s="671"/>
      <c r="N348" s="671"/>
      <c r="O348" s="671"/>
      <c r="P348" s="671"/>
      <c r="Q348" s="671"/>
      <c r="R348" s="671"/>
      <c r="S348" s="671"/>
      <c r="T348" s="671"/>
      <c r="U348" s="671"/>
      <c r="V348" s="671"/>
      <c r="W348" s="671"/>
      <c r="X348" s="671"/>
      <c r="Y348" s="671"/>
      <c r="Z348" s="671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76">
        <v>4680115886476</v>
      </c>
      <c r="E349" s="677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758" t="s">
        <v>541</v>
      </c>
      <c r="Q349" s="682"/>
      <c r="R349" s="682"/>
      <c r="S349" s="682"/>
      <c r="T349" s="683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76">
        <v>4607091388374</v>
      </c>
      <c r="E350" s="677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971" t="s">
        <v>545</v>
      </c>
      <c r="Q350" s="682"/>
      <c r="R350" s="682"/>
      <c r="S350" s="682"/>
      <c r="T350" s="683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76">
        <v>4607091383102</v>
      </c>
      <c r="E351" s="677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95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2"/>
      <c r="R351" s="682"/>
      <c r="S351" s="682"/>
      <c r="T351" s="683"/>
      <c r="U351" s="34"/>
      <c r="V351" s="34"/>
      <c r="W351" s="35" t="s">
        <v>68</v>
      </c>
      <c r="X351" s="663">
        <v>2</v>
      </c>
      <c r="Y351" s="664">
        <f>IFERROR(IF(X351="",0,CEILING((X351/$H351),1)*$H351),"")</f>
        <v>2.5499999999999998</v>
      </c>
      <c r="Z351" s="36">
        <f>IFERROR(IF(Y351=0,"",ROUNDUP(Y351/H351,0)*0.00651),"")</f>
        <v>6.5100000000000002E-3</v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2.3176470588235296</v>
      </c>
      <c r="BN351" s="64">
        <f>IFERROR(Y351*I351/H351,"0")</f>
        <v>2.9550000000000001</v>
      </c>
      <c r="BO351" s="64">
        <f>IFERROR(1/J351*(X351/H351),"0")</f>
        <v>4.3094160741219576E-3</v>
      </c>
      <c r="BP351" s="64">
        <f>IFERROR(1/J351*(Y351/H351),"0")</f>
        <v>5.4945054945054949E-3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76">
        <v>4607091388404</v>
      </c>
      <c r="E352" s="677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2"/>
      <c r="R352" s="682"/>
      <c r="S352" s="682"/>
      <c r="T352" s="683"/>
      <c r="U352" s="34"/>
      <c r="V352" s="34"/>
      <c r="W352" s="35" t="s">
        <v>68</v>
      </c>
      <c r="X352" s="663">
        <v>2</v>
      </c>
      <c r="Y352" s="664">
        <f>IFERROR(IF(X352="",0,CEILING((X352/$H352),1)*$H352),"")</f>
        <v>2.5499999999999998</v>
      </c>
      <c r="Z352" s="36">
        <f>IFERROR(IF(Y352=0,"",ROUNDUP(Y352/H352,0)*0.00651),"")</f>
        <v>6.5100000000000002E-3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2.2588235294117647</v>
      </c>
      <c r="BN352" s="64">
        <f>IFERROR(Y352*I352/H352,"0")</f>
        <v>2.88</v>
      </c>
      <c r="BO352" s="64">
        <f>IFERROR(1/J352*(X352/H352),"0")</f>
        <v>4.3094160741219576E-3</v>
      </c>
      <c r="BP352" s="64">
        <f>IFERROR(1/J352*(Y352/H352),"0")</f>
        <v>5.4945054945054949E-3</v>
      </c>
    </row>
    <row r="353" spans="1:68" x14ac:dyDescent="0.2">
      <c r="A353" s="670"/>
      <c r="B353" s="671"/>
      <c r="C353" s="671"/>
      <c r="D353" s="671"/>
      <c r="E353" s="671"/>
      <c r="F353" s="671"/>
      <c r="G353" s="671"/>
      <c r="H353" s="671"/>
      <c r="I353" s="671"/>
      <c r="J353" s="671"/>
      <c r="K353" s="671"/>
      <c r="L353" s="671"/>
      <c r="M353" s="671"/>
      <c r="N353" s="671"/>
      <c r="O353" s="672"/>
      <c r="P353" s="678" t="s">
        <v>87</v>
      </c>
      <c r="Q353" s="668"/>
      <c r="R353" s="668"/>
      <c r="S353" s="668"/>
      <c r="T353" s="668"/>
      <c r="U353" s="668"/>
      <c r="V353" s="669"/>
      <c r="W353" s="37" t="s">
        <v>88</v>
      </c>
      <c r="X353" s="665">
        <f>IFERROR(X349/H349,"0")+IFERROR(X350/H350,"0")+IFERROR(X351/H351,"0")+IFERROR(X352/H352,"0")</f>
        <v>1.5686274509803924</v>
      </c>
      <c r="Y353" s="665">
        <f>IFERROR(Y349/H349,"0")+IFERROR(Y350/H350,"0")+IFERROR(Y351/H351,"0")+IFERROR(Y352/H352,"0")</f>
        <v>2</v>
      </c>
      <c r="Z353" s="665">
        <f>IFERROR(IF(Z349="",0,Z349),"0")+IFERROR(IF(Z350="",0,Z350),"0")+IFERROR(IF(Z351="",0,Z351),"0")+IFERROR(IF(Z352="",0,Z352),"0")</f>
        <v>1.302E-2</v>
      </c>
      <c r="AA353" s="666"/>
      <c r="AB353" s="666"/>
      <c r="AC353" s="666"/>
    </row>
    <row r="354" spans="1:68" x14ac:dyDescent="0.2">
      <c r="A354" s="671"/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2"/>
      <c r="P354" s="678" t="s">
        <v>87</v>
      </c>
      <c r="Q354" s="668"/>
      <c r="R354" s="668"/>
      <c r="S354" s="668"/>
      <c r="T354" s="668"/>
      <c r="U354" s="668"/>
      <c r="V354" s="669"/>
      <c r="W354" s="37" t="s">
        <v>68</v>
      </c>
      <c r="X354" s="665">
        <f>IFERROR(SUM(X349:X352),"0")</f>
        <v>4</v>
      </c>
      <c r="Y354" s="665">
        <f>IFERROR(SUM(Y349:Y352),"0")</f>
        <v>5.0999999999999996</v>
      </c>
      <c r="Z354" s="37"/>
      <c r="AA354" s="666"/>
      <c r="AB354" s="666"/>
      <c r="AC354" s="666"/>
    </row>
    <row r="355" spans="1:68" ht="14.25" customHeight="1" x14ac:dyDescent="0.25">
      <c r="A355" s="680" t="s">
        <v>552</v>
      </c>
      <c r="B355" s="671"/>
      <c r="C355" s="671"/>
      <c r="D355" s="671"/>
      <c r="E355" s="671"/>
      <c r="F355" s="671"/>
      <c r="G355" s="671"/>
      <c r="H355" s="671"/>
      <c r="I355" s="671"/>
      <c r="J355" s="671"/>
      <c r="K355" s="671"/>
      <c r="L355" s="671"/>
      <c r="M355" s="671"/>
      <c r="N355" s="671"/>
      <c r="O355" s="671"/>
      <c r="P355" s="671"/>
      <c r="Q355" s="671"/>
      <c r="R355" s="671"/>
      <c r="S355" s="671"/>
      <c r="T355" s="671"/>
      <c r="U355" s="671"/>
      <c r="V355" s="671"/>
      <c r="W355" s="671"/>
      <c r="X355" s="671"/>
      <c r="Y355" s="671"/>
      <c r="Z355" s="671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76">
        <v>4680115881808</v>
      </c>
      <c r="E356" s="677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2"/>
      <c r="R356" s="682"/>
      <c r="S356" s="682"/>
      <c r="T356" s="683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76">
        <v>4680115881822</v>
      </c>
      <c r="E357" s="677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2"/>
      <c r="R357" s="682"/>
      <c r="S357" s="682"/>
      <c r="T357" s="683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76">
        <v>4680115880016</v>
      </c>
      <c r="E358" s="677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9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2"/>
      <c r="R358" s="682"/>
      <c r="S358" s="682"/>
      <c r="T358" s="683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0"/>
      <c r="B359" s="671"/>
      <c r="C359" s="671"/>
      <c r="D359" s="671"/>
      <c r="E359" s="671"/>
      <c r="F359" s="671"/>
      <c r="G359" s="671"/>
      <c r="H359" s="671"/>
      <c r="I359" s="671"/>
      <c r="J359" s="671"/>
      <c r="K359" s="671"/>
      <c r="L359" s="671"/>
      <c r="M359" s="671"/>
      <c r="N359" s="671"/>
      <c r="O359" s="672"/>
      <c r="P359" s="678" t="s">
        <v>87</v>
      </c>
      <c r="Q359" s="668"/>
      <c r="R359" s="668"/>
      <c r="S359" s="668"/>
      <c r="T359" s="668"/>
      <c r="U359" s="668"/>
      <c r="V359" s="669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1"/>
      <c r="B360" s="671"/>
      <c r="C360" s="671"/>
      <c r="D360" s="671"/>
      <c r="E360" s="671"/>
      <c r="F360" s="671"/>
      <c r="G360" s="671"/>
      <c r="H360" s="671"/>
      <c r="I360" s="671"/>
      <c r="J360" s="671"/>
      <c r="K360" s="671"/>
      <c r="L360" s="671"/>
      <c r="M360" s="671"/>
      <c r="N360" s="671"/>
      <c r="O360" s="672"/>
      <c r="P360" s="678" t="s">
        <v>87</v>
      </c>
      <c r="Q360" s="668"/>
      <c r="R360" s="668"/>
      <c r="S360" s="668"/>
      <c r="T360" s="668"/>
      <c r="U360" s="668"/>
      <c r="V360" s="669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686" t="s">
        <v>561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8"/>
      <c r="AB361" s="658"/>
      <c r="AC361" s="658"/>
    </row>
    <row r="362" spans="1:68" ht="14.25" customHeight="1" x14ac:dyDescent="0.25">
      <c r="A362" s="680" t="s">
        <v>144</v>
      </c>
      <c r="B362" s="671"/>
      <c r="C362" s="671"/>
      <c r="D362" s="671"/>
      <c r="E362" s="671"/>
      <c r="F362" s="671"/>
      <c r="G362" s="671"/>
      <c r="H362" s="671"/>
      <c r="I362" s="671"/>
      <c r="J362" s="671"/>
      <c r="K362" s="671"/>
      <c r="L362" s="671"/>
      <c r="M362" s="671"/>
      <c r="N362" s="671"/>
      <c r="O362" s="671"/>
      <c r="P362" s="671"/>
      <c r="Q362" s="671"/>
      <c r="R362" s="671"/>
      <c r="S362" s="671"/>
      <c r="T362" s="671"/>
      <c r="U362" s="671"/>
      <c r="V362" s="671"/>
      <c r="W362" s="671"/>
      <c r="X362" s="671"/>
      <c r="Y362" s="671"/>
      <c r="Z362" s="671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76">
        <v>4607091383836</v>
      </c>
      <c r="E363" s="677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68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2"/>
      <c r="R363" s="682"/>
      <c r="S363" s="682"/>
      <c r="T363" s="683"/>
      <c r="U363" s="34"/>
      <c r="V363" s="34"/>
      <c r="W363" s="35" t="s">
        <v>68</v>
      </c>
      <c r="X363" s="663">
        <v>2</v>
      </c>
      <c r="Y363" s="664">
        <f>IFERROR(IF(X363="",0,CEILING((X363/$H363),1)*$H363),"")</f>
        <v>3.6</v>
      </c>
      <c r="Z363" s="36">
        <f>IFERROR(IF(Y363=0,"",ROUNDUP(Y363/H363,0)*0.00651),"")</f>
        <v>1.302E-2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2.2533333333333334</v>
      </c>
      <c r="BN363" s="64">
        <f>IFERROR(Y363*I363/H363,"0")</f>
        <v>4.056</v>
      </c>
      <c r="BO363" s="64">
        <f>IFERROR(1/J363*(X363/H363),"0")</f>
        <v>6.1050061050061059E-3</v>
      </c>
      <c r="BP363" s="64">
        <f>IFERROR(1/J363*(Y363/H363),"0")</f>
        <v>1.098901098901099E-2</v>
      </c>
    </row>
    <row r="364" spans="1:68" x14ac:dyDescent="0.2">
      <c r="A364" s="670"/>
      <c r="B364" s="671"/>
      <c r="C364" s="671"/>
      <c r="D364" s="671"/>
      <c r="E364" s="671"/>
      <c r="F364" s="671"/>
      <c r="G364" s="671"/>
      <c r="H364" s="671"/>
      <c r="I364" s="671"/>
      <c r="J364" s="671"/>
      <c r="K364" s="671"/>
      <c r="L364" s="671"/>
      <c r="M364" s="671"/>
      <c r="N364" s="671"/>
      <c r="O364" s="672"/>
      <c r="P364" s="678" t="s">
        <v>87</v>
      </c>
      <c r="Q364" s="668"/>
      <c r="R364" s="668"/>
      <c r="S364" s="668"/>
      <c r="T364" s="668"/>
      <c r="U364" s="668"/>
      <c r="V364" s="669"/>
      <c r="W364" s="37" t="s">
        <v>88</v>
      </c>
      <c r="X364" s="665">
        <f>IFERROR(X363/H363,"0")</f>
        <v>1.1111111111111112</v>
      </c>
      <c r="Y364" s="665">
        <f>IFERROR(Y363/H363,"0")</f>
        <v>2</v>
      </c>
      <c r="Z364" s="665">
        <f>IFERROR(IF(Z363="",0,Z363),"0")</f>
        <v>1.302E-2</v>
      </c>
      <c r="AA364" s="666"/>
      <c r="AB364" s="666"/>
      <c r="AC364" s="666"/>
    </row>
    <row r="365" spans="1:68" x14ac:dyDescent="0.2">
      <c r="A365" s="671"/>
      <c r="B365" s="671"/>
      <c r="C365" s="671"/>
      <c r="D365" s="671"/>
      <c r="E365" s="671"/>
      <c r="F365" s="671"/>
      <c r="G365" s="671"/>
      <c r="H365" s="671"/>
      <c r="I365" s="671"/>
      <c r="J365" s="671"/>
      <c r="K365" s="671"/>
      <c r="L365" s="671"/>
      <c r="M365" s="671"/>
      <c r="N365" s="671"/>
      <c r="O365" s="672"/>
      <c r="P365" s="678" t="s">
        <v>87</v>
      </c>
      <c r="Q365" s="668"/>
      <c r="R365" s="668"/>
      <c r="S365" s="668"/>
      <c r="T365" s="668"/>
      <c r="U365" s="668"/>
      <c r="V365" s="669"/>
      <c r="W365" s="37" t="s">
        <v>68</v>
      </c>
      <c r="X365" s="665">
        <f>IFERROR(SUM(X363:X363),"0")</f>
        <v>2</v>
      </c>
      <c r="Y365" s="665">
        <f>IFERROR(SUM(Y363:Y363),"0")</f>
        <v>3.6</v>
      </c>
      <c r="Z365" s="37"/>
      <c r="AA365" s="666"/>
      <c r="AB365" s="666"/>
      <c r="AC365" s="666"/>
    </row>
    <row r="366" spans="1:68" ht="14.25" customHeight="1" x14ac:dyDescent="0.25">
      <c r="A366" s="680" t="s">
        <v>63</v>
      </c>
      <c r="B366" s="671"/>
      <c r="C366" s="671"/>
      <c r="D366" s="671"/>
      <c r="E366" s="671"/>
      <c r="F366" s="671"/>
      <c r="G366" s="671"/>
      <c r="H366" s="671"/>
      <c r="I366" s="671"/>
      <c r="J366" s="671"/>
      <c r="K366" s="671"/>
      <c r="L366" s="671"/>
      <c r="M366" s="671"/>
      <c r="N366" s="671"/>
      <c r="O366" s="671"/>
      <c r="P366" s="671"/>
      <c r="Q366" s="671"/>
      <c r="R366" s="671"/>
      <c r="S366" s="671"/>
      <c r="T366" s="671"/>
      <c r="U366" s="671"/>
      <c r="V366" s="671"/>
      <c r="W366" s="671"/>
      <c r="X366" s="671"/>
      <c r="Y366" s="671"/>
      <c r="Z366" s="671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76">
        <v>4607091387919</v>
      </c>
      <c r="E367" s="677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7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2"/>
      <c r="R367" s="682"/>
      <c r="S367" s="682"/>
      <c r="T367" s="683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76">
        <v>4680115883604</v>
      </c>
      <c r="E368" s="677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6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2"/>
      <c r="R368" s="682"/>
      <c r="S368" s="682"/>
      <c r="T368" s="683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76">
        <v>4680115883567</v>
      </c>
      <c r="E369" s="677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7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2"/>
      <c r="R369" s="682"/>
      <c r="S369" s="682"/>
      <c r="T369" s="683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0"/>
      <c r="B370" s="671"/>
      <c r="C370" s="671"/>
      <c r="D370" s="671"/>
      <c r="E370" s="671"/>
      <c r="F370" s="671"/>
      <c r="G370" s="671"/>
      <c r="H370" s="671"/>
      <c r="I370" s="671"/>
      <c r="J370" s="671"/>
      <c r="K370" s="671"/>
      <c r="L370" s="671"/>
      <c r="M370" s="671"/>
      <c r="N370" s="671"/>
      <c r="O370" s="672"/>
      <c r="P370" s="678" t="s">
        <v>87</v>
      </c>
      <c r="Q370" s="668"/>
      <c r="R370" s="668"/>
      <c r="S370" s="668"/>
      <c r="T370" s="668"/>
      <c r="U370" s="668"/>
      <c r="V370" s="669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1"/>
      <c r="B371" s="671"/>
      <c r="C371" s="671"/>
      <c r="D371" s="671"/>
      <c r="E371" s="671"/>
      <c r="F371" s="671"/>
      <c r="G371" s="671"/>
      <c r="H371" s="671"/>
      <c r="I371" s="671"/>
      <c r="J371" s="671"/>
      <c r="K371" s="671"/>
      <c r="L371" s="671"/>
      <c r="M371" s="671"/>
      <c r="N371" s="671"/>
      <c r="O371" s="672"/>
      <c r="P371" s="678" t="s">
        <v>87</v>
      </c>
      <c r="Q371" s="668"/>
      <c r="R371" s="668"/>
      <c r="S371" s="668"/>
      <c r="T371" s="668"/>
      <c r="U371" s="668"/>
      <c r="V371" s="669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790" t="s">
        <v>574</v>
      </c>
      <c r="B372" s="791"/>
      <c r="C372" s="791"/>
      <c r="D372" s="791"/>
      <c r="E372" s="791"/>
      <c r="F372" s="791"/>
      <c r="G372" s="791"/>
      <c r="H372" s="791"/>
      <c r="I372" s="791"/>
      <c r="J372" s="791"/>
      <c r="K372" s="791"/>
      <c r="L372" s="791"/>
      <c r="M372" s="791"/>
      <c r="N372" s="791"/>
      <c r="O372" s="791"/>
      <c r="P372" s="791"/>
      <c r="Q372" s="791"/>
      <c r="R372" s="791"/>
      <c r="S372" s="791"/>
      <c r="T372" s="791"/>
      <c r="U372" s="791"/>
      <c r="V372" s="791"/>
      <c r="W372" s="791"/>
      <c r="X372" s="791"/>
      <c r="Y372" s="791"/>
      <c r="Z372" s="791"/>
      <c r="AA372" s="48"/>
      <c r="AB372" s="48"/>
      <c r="AC372" s="48"/>
    </row>
    <row r="373" spans="1:68" ht="16.5" customHeight="1" x14ac:dyDescent="0.25">
      <c r="A373" s="686" t="s">
        <v>575</v>
      </c>
      <c r="B373" s="671"/>
      <c r="C373" s="671"/>
      <c r="D373" s="671"/>
      <c r="E373" s="671"/>
      <c r="F373" s="671"/>
      <c r="G373" s="671"/>
      <c r="H373" s="671"/>
      <c r="I373" s="671"/>
      <c r="J373" s="671"/>
      <c r="K373" s="671"/>
      <c r="L373" s="671"/>
      <c r="M373" s="671"/>
      <c r="N373" s="671"/>
      <c r="O373" s="671"/>
      <c r="P373" s="671"/>
      <c r="Q373" s="671"/>
      <c r="R373" s="671"/>
      <c r="S373" s="671"/>
      <c r="T373" s="671"/>
      <c r="U373" s="671"/>
      <c r="V373" s="671"/>
      <c r="W373" s="671"/>
      <c r="X373" s="671"/>
      <c r="Y373" s="671"/>
      <c r="Z373" s="671"/>
      <c r="AA373" s="658"/>
      <c r="AB373" s="658"/>
      <c r="AC373" s="658"/>
    </row>
    <row r="374" spans="1:68" ht="14.25" customHeight="1" x14ac:dyDescent="0.25">
      <c r="A374" s="680" t="s">
        <v>97</v>
      </c>
      <c r="B374" s="671"/>
      <c r="C374" s="671"/>
      <c r="D374" s="671"/>
      <c r="E374" s="671"/>
      <c r="F374" s="671"/>
      <c r="G374" s="671"/>
      <c r="H374" s="671"/>
      <c r="I374" s="671"/>
      <c r="J374" s="671"/>
      <c r="K374" s="671"/>
      <c r="L374" s="671"/>
      <c r="M374" s="671"/>
      <c r="N374" s="671"/>
      <c r="O374" s="671"/>
      <c r="P374" s="671"/>
      <c r="Q374" s="671"/>
      <c r="R374" s="671"/>
      <c r="S374" s="671"/>
      <c r="T374" s="671"/>
      <c r="U374" s="671"/>
      <c r="V374" s="671"/>
      <c r="W374" s="671"/>
      <c r="X374" s="671"/>
      <c r="Y374" s="671"/>
      <c r="Z374" s="671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6">
        <v>4680115884847</v>
      </c>
      <c r="E375" s="677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6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82"/>
      <c r="R375" s="682"/>
      <c r="S375" s="682"/>
      <c r="T375" s="683"/>
      <c r="U375" s="34"/>
      <c r="V375" s="34"/>
      <c r="W375" s="35" t="s">
        <v>68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76">
        <v>4680115884847</v>
      </c>
      <c r="E376" s="677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95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82"/>
      <c r="R376" s="682"/>
      <c r="S376" s="682"/>
      <c r="T376" s="683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6">
        <v>4680115884854</v>
      </c>
      <c r="E377" s="677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4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2"/>
      <c r="R377" s="682"/>
      <c r="S377" s="682"/>
      <c r="T377" s="683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76">
        <v>4680115884854</v>
      </c>
      <c r="E378" s="677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94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2"/>
      <c r="R378" s="682"/>
      <c r="S378" s="682"/>
      <c r="T378" s="683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6">
        <v>4680115884830</v>
      </c>
      <c r="E379" s="677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10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82"/>
      <c r="R379" s="682"/>
      <c r="S379" s="682"/>
      <c r="T379" s="683"/>
      <c r="U379" s="34"/>
      <c r="V379" s="34"/>
      <c r="W379" s="35" t="s">
        <v>68</v>
      </c>
      <c r="X379" s="663">
        <v>250</v>
      </c>
      <c r="Y379" s="664">
        <f t="shared" si="58"/>
        <v>255</v>
      </c>
      <c r="Z379" s="36">
        <f>IFERROR(IF(Y379=0,"",ROUNDUP(Y379/H379,0)*0.02175),"")</f>
        <v>0.36974999999999997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258</v>
      </c>
      <c r="BN379" s="64">
        <f t="shared" si="60"/>
        <v>263.16000000000003</v>
      </c>
      <c r="BO379" s="64">
        <f t="shared" si="61"/>
        <v>0.34722222222222221</v>
      </c>
      <c r="BP379" s="64">
        <f t="shared" si="62"/>
        <v>0.35416666666666663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76">
        <v>4607091383997</v>
      </c>
      <c r="E380" s="677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6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82"/>
      <c r="R380" s="682"/>
      <c r="S380" s="682"/>
      <c r="T380" s="683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76">
        <v>4680115884830</v>
      </c>
      <c r="E381" s="677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104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2"/>
      <c r="R381" s="682"/>
      <c r="S381" s="682"/>
      <c r="T381" s="683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76">
        <v>4680115882638</v>
      </c>
      <c r="E382" s="677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9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2"/>
      <c r="R382" s="682"/>
      <c r="S382" s="682"/>
      <c r="T382" s="683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76">
        <v>4680115884922</v>
      </c>
      <c r="E383" s="677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2"/>
      <c r="R383" s="682"/>
      <c r="S383" s="682"/>
      <c r="T383" s="683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76">
        <v>4680115884861</v>
      </c>
      <c r="E384" s="677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103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2"/>
      <c r="R384" s="682"/>
      <c r="S384" s="682"/>
      <c r="T384" s="683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0"/>
      <c r="B385" s="671"/>
      <c r="C385" s="671"/>
      <c r="D385" s="671"/>
      <c r="E385" s="671"/>
      <c r="F385" s="671"/>
      <c r="G385" s="671"/>
      <c r="H385" s="671"/>
      <c r="I385" s="671"/>
      <c r="J385" s="671"/>
      <c r="K385" s="671"/>
      <c r="L385" s="671"/>
      <c r="M385" s="671"/>
      <c r="N385" s="671"/>
      <c r="O385" s="672"/>
      <c r="P385" s="678" t="s">
        <v>87</v>
      </c>
      <c r="Q385" s="668"/>
      <c r="R385" s="668"/>
      <c r="S385" s="668"/>
      <c r="T385" s="668"/>
      <c r="U385" s="668"/>
      <c r="V385" s="669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16.666666666666668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17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0.36974999999999997</v>
      </c>
      <c r="AA385" s="666"/>
      <c r="AB385" s="666"/>
      <c r="AC385" s="666"/>
    </row>
    <row r="386" spans="1:68" x14ac:dyDescent="0.2">
      <c r="A386" s="671"/>
      <c r="B386" s="671"/>
      <c r="C386" s="671"/>
      <c r="D386" s="671"/>
      <c r="E386" s="671"/>
      <c r="F386" s="671"/>
      <c r="G386" s="671"/>
      <c r="H386" s="671"/>
      <c r="I386" s="671"/>
      <c r="J386" s="671"/>
      <c r="K386" s="671"/>
      <c r="L386" s="671"/>
      <c r="M386" s="671"/>
      <c r="N386" s="671"/>
      <c r="O386" s="672"/>
      <c r="P386" s="678" t="s">
        <v>87</v>
      </c>
      <c r="Q386" s="668"/>
      <c r="R386" s="668"/>
      <c r="S386" s="668"/>
      <c r="T386" s="668"/>
      <c r="U386" s="668"/>
      <c r="V386" s="669"/>
      <c r="W386" s="37" t="s">
        <v>68</v>
      </c>
      <c r="X386" s="665">
        <f>IFERROR(SUM(X375:X384),"0")</f>
        <v>250</v>
      </c>
      <c r="Y386" s="665">
        <f>IFERROR(SUM(Y375:Y384),"0")</f>
        <v>255</v>
      </c>
      <c r="Z386" s="37"/>
      <c r="AA386" s="666"/>
      <c r="AB386" s="666"/>
      <c r="AC386" s="666"/>
    </row>
    <row r="387" spans="1:68" ht="14.25" customHeight="1" x14ac:dyDescent="0.25">
      <c r="A387" s="680" t="s">
        <v>133</v>
      </c>
      <c r="B387" s="671"/>
      <c r="C387" s="671"/>
      <c r="D387" s="671"/>
      <c r="E387" s="671"/>
      <c r="F387" s="671"/>
      <c r="G387" s="671"/>
      <c r="H387" s="671"/>
      <c r="I387" s="671"/>
      <c r="J387" s="671"/>
      <c r="K387" s="671"/>
      <c r="L387" s="671"/>
      <c r="M387" s="671"/>
      <c r="N387" s="671"/>
      <c r="O387" s="671"/>
      <c r="P387" s="671"/>
      <c r="Q387" s="671"/>
      <c r="R387" s="671"/>
      <c r="S387" s="671"/>
      <c r="T387" s="671"/>
      <c r="U387" s="671"/>
      <c r="V387" s="671"/>
      <c r="W387" s="671"/>
      <c r="X387" s="671"/>
      <c r="Y387" s="671"/>
      <c r="Z387" s="671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6">
        <v>4607091383980</v>
      </c>
      <c r="E388" s="677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8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2"/>
      <c r="R388" s="682"/>
      <c r="S388" s="682"/>
      <c r="T388" s="683"/>
      <c r="U388" s="34"/>
      <c r="V388" s="34"/>
      <c r="W388" s="35" t="s">
        <v>68</v>
      </c>
      <c r="X388" s="663">
        <v>642</v>
      </c>
      <c r="Y388" s="664">
        <f>IFERROR(IF(X388="",0,CEILING((X388/$H388),1)*$H388),"")</f>
        <v>645</v>
      </c>
      <c r="Z388" s="36">
        <f>IFERROR(IF(Y388=0,"",ROUNDUP(Y388/H388,0)*0.02175),"")</f>
        <v>0.93524999999999991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662.54399999999998</v>
      </c>
      <c r="BN388" s="64">
        <f>IFERROR(Y388*I388/H388,"0")</f>
        <v>665.64</v>
      </c>
      <c r="BO388" s="64">
        <f>IFERROR(1/J388*(X388/H388),"0")</f>
        <v>0.89166666666666661</v>
      </c>
      <c r="BP388" s="64">
        <f>IFERROR(1/J388*(Y388/H388),"0")</f>
        <v>0.89583333333333326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76">
        <v>4607091384178</v>
      </c>
      <c r="E389" s="677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10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2"/>
      <c r="R389" s="682"/>
      <c r="S389" s="682"/>
      <c r="T389" s="683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0"/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72"/>
      <c r="P390" s="678" t="s">
        <v>87</v>
      </c>
      <c r="Q390" s="668"/>
      <c r="R390" s="668"/>
      <c r="S390" s="668"/>
      <c r="T390" s="668"/>
      <c r="U390" s="668"/>
      <c r="V390" s="669"/>
      <c r="W390" s="37" t="s">
        <v>88</v>
      </c>
      <c r="X390" s="665">
        <f>IFERROR(X388/H388,"0")+IFERROR(X389/H389,"0")</f>
        <v>42.8</v>
      </c>
      <c r="Y390" s="665">
        <f>IFERROR(Y388/H388,"0")+IFERROR(Y389/H389,"0")</f>
        <v>43</v>
      </c>
      <c r="Z390" s="665">
        <f>IFERROR(IF(Z388="",0,Z388),"0")+IFERROR(IF(Z389="",0,Z389),"0")</f>
        <v>0.93524999999999991</v>
      </c>
      <c r="AA390" s="666"/>
      <c r="AB390" s="666"/>
      <c r="AC390" s="666"/>
    </row>
    <row r="391" spans="1:68" x14ac:dyDescent="0.2">
      <c r="A391" s="671"/>
      <c r="B391" s="671"/>
      <c r="C391" s="671"/>
      <c r="D391" s="671"/>
      <c r="E391" s="671"/>
      <c r="F391" s="671"/>
      <c r="G391" s="671"/>
      <c r="H391" s="671"/>
      <c r="I391" s="671"/>
      <c r="J391" s="671"/>
      <c r="K391" s="671"/>
      <c r="L391" s="671"/>
      <c r="M391" s="671"/>
      <c r="N391" s="671"/>
      <c r="O391" s="672"/>
      <c r="P391" s="678" t="s">
        <v>87</v>
      </c>
      <c r="Q391" s="668"/>
      <c r="R391" s="668"/>
      <c r="S391" s="668"/>
      <c r="T391" s="668"/>
      <c r="U391" s="668"/>
      <c r="V391" s="669"/>
      <c r="W391" s="37" t="s">
        <v>68</v>
      </c>
      <c r="X391" s="665">
        <f>IFERROR(SUM(X388:X389),"0")</f>
        <v>642</v>
      </c>
      <c r="Y391" s="665">
        <f>IFERROR(SUM(Y388:Y389),"0")</f>
        <v>645</v>
      </c>
      <c r="Z391" s="37"/>
      <c r="AA391" s="666"/>
      <c r="AB391" s="666"/>
      <c r="AC391" s="666"/>
    </row>
    <row r="392" spans="1:68" ht="14.25" customHeight="1" x14ac:dyDescent="0.25">
      <c r="A392" s="680" t="s">
        <v>63</v>
      </c>
      <c r="B392" s="671"/>
      <c r="C392" s="671"/>
      <c r="D392" s="671"/>
      <c r="E392" s="671"/>
      <c r="F392" s="671"/>
      <c r="G392" s="671"/>
      <c r="H392" s="671"/>
      <c r="I392" s="671"/>
      <c r="J392" s="671"/>
      <c r="K392" s="671"/>
      <c r="L392" s="671"/>
      <c r="M392" s="671"/>
      <c r="N392" s="671"/>
      <c r="O392" s="671"/>
      <c r="P392" s="671"/>
      <c r="Q392" s="671"/>
      <c r="R392" s="671"/>
      <c r="S392" s="671"/>
      <c r="T392" s="671"/>
      <c r="U392" s="671"/>
      <c r="V392" s="671"/>
      <c r="W392" s="671"/>
      <c r="X392" s="671"/>
      <c r="Y392" s="671"/>
      <c r="Z392" s="671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76">
        <v>4607091383928</v>
      </c>
      <c r="E393" s="677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5" t="s">
        <v>606</v>
      </c>
      <c r="Q393" s="682"/>
      <c r="R393" s="682"/>
      <c r="S393" s="682"/>
      <c r="T393" s="683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76">
        <v>4607091384260</v>
      </c>
      <c r="E394" s="677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1001" t="s">
        <v>610</v>
      </c>
      <c r="Q394" s="682"/>
      <c r="R394" s="682"/>
      <c r="S394" s="682"/>
      <c r="T394" s="683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0"/>
      <c r="B395" s="671"/>
      <c r="C395" s="671"/>
      <c r="D395" s="671"/>
      <c r="E395" s="671"/>
      <c r="F395" s="671"/>
      <c r="G395" s="671"/>
      <c r="H395" s="671"/>
      <c r="I395" s="671"/>
      <c r="J395" s="671"/>
      <c r="K395" s="671"/>
      <c r="L395" s="671"/>
      <c r="M395" s="671"/>
      <c r="N395" s="671"/>
      <c r="O395" s="672"/>
      <c r="P395" s="678" t="s">
        <v>87</v>
      </c>
      <c r="Q395" s="668"/>
      <c r="R395" s="668"/>
      <c r="S395" s="668"/>
      <c r="T395" s="668"/>
      <c r="U395" s="668"/>
      <c r="V395" s="669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1"/>
      <c r="B396" s="671"/>
      <c r="C396" s="671"/>
      <c r="D396" s="671"/>
      <c r="E396" s="671"/>
      <c r="F396" s="671"/>
      <c r="G396" s="671"/>
      <c r="H396" s="671"/>
      <c r="I396" s="671"/>
      <c r="J396" s="671"/>
      <c r="K396" s="671"/>
      <c r="L396" s="671"/>
      <c r="M396" s="671"/>
      <c r="N396" s="671"/>
      <c r="O396" s="672"/>
      <c r="P396" s="678" t="s">
        <v>87</v>
      </c>
      <c r="Q396" s="668"/>
      <c r="R396" s="668"/>
      <c r="S396" s="668"/>
      <c r="T396" s="668"/>
      <c r="U396" s="668"/>
      <c r="V396" s="669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80" t="s">
        <v>170</v>
      </c>
      <c r="B397" s="671"/>
      <c r="C397" s="671"/>
      <c r="D397" s="671"/>
      <c r="E397" s="671"/>
      <c r="F397" s="671"/>
      <c r="G397" s="671"/>
      <c r="H397" s="671"/>
      <c r="I397" s="671"/>
      <c r="J397" s="671"/>
      <c r="K397" s="671"/>
      <c r="L397" s="671"/>
      <c r="M397" s="671"/>
      <c r="N397" s="671"/>
      <c r="O397" s="671"/>
      <c r="P397" s="671"/>
      <c r="Q397" s="671"/>
      <c r="R397" s="671"/>
      <c r="S397" s="671"/>
      <c r="T397" s="671"/>
      <c r="U397" s="671"/>
      <c r="V397" s="671"/>
      <c r="W397" s="671"/>
      <c r="X397" s="671"/>
      <c r="Y397" s="671"/>
      <c r="Z397" s="671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76">
        <v>4607091384673</v>
      </c>
      <c r="E398" s="677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805" t="s">
        <v>614</v>
      </c>
      <c r="Q398" s="682"/>
      <c r="R398" s="682"/>
      <c r="S398" s="682"/>
      <c r="T398" s="683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0"/>
      <c r="B399" s="671"/>
      <c r="C399" s="671"/>
      <c r="D399" s="671"/>
      <c r="E399" s="671"/>
      <c r="F399" s="671"/>
      <c r="G399" s="671"/>
      <c r="H399" s="671"/>
      <c r="I399" s="671"/>
      <c r="J399" s="671"/>
      <c r="K399" s="671"/>
      <c r="L399" s="671"/>
      <c r="M399" s="671"/>
      <c r="N399" s="671"/>
      <c r="O399" s="672"/>
      <c r="P399" s="678" t="s">
        <v>87</v>
      </c>
      <c r="Q399" s="668"/>
      <c r="R399" s="668"/>
      <c r="S399" s="668"/>
      <c r="T399" s="668"/>
      <c r="U399" s="668"/>
      <c r="V399" s="669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1"/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72"/>
      <c r="P400" s="678" t="s">
        <v>87</v>
      </c>
      <c r="Q400" s="668"/>
      <c r="R400" s="668"/>
      <c r="S400" s="668"/>
      <c r="T400" s="668"/>
      <c r="U400" s="668"/>
      <c r="V400" s="669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686" t="s">
        <v>616</v>
      </c>
      <c r="B401" s="671"/>
      <c r="C401" s="671"/>
      <c r="D401" s="671"/>
      <c r="E401" s="671"/>
      <c r="F401" s="671"/>
      <c r="G401" s="671"/>
      <c r="H401" s="671"/>
      <c r="I401" s="671"/>
      <c r="J401" s="671"/>
      <c r="K401" s="671"/>
      <c r="L401" s="671"/>
      <c r="M401" s="671"/>
      <c r="N401" s="671"/>
      <c r="O401" s="671"/>
      <c r="P401" s="671"/>
      <c r="Q401" s="671"/>
      <c r="R401" s="671"/>
      <c r="S401" s="671"/>
      <c r="T401" s="671"/>
      <c r="U401" s="671"/>
      <c r="V401" s="671"/>
      <c r="W401" s="671"/>
      <c r="X401" s="671"/>
      <c r="Y401" s="671"/>
      <c r="Z401" s="671"/>
      <c r="AA401" s="658"/>
      <c r="AB401" s="658"/>
      <c r="AC401" s="658"/>
    </row>
    <row r="402" spans="1:68" ht="14.25" customHeight="1" x14ac:dyDescent="0.25">
      <c r="A402" s="680" t="s">
        <v>97</v>
      </c>
      <c r="B402" s="671"/>
      <c r="C402" s="671"/>
      <c r="D402" s="671"/>
      <c r="E402" s="671"/>
      <c r="F402" s="671"/>
      <c r="G402" s="671"/>
      <c r="H402" s="671"/>
      <c r="I402" s="671"/>
      <c r="J402" s="671"/>
      <c r="K402" s="671"/>
      <c r="L402" s="671"/>
      <c r="M402" s="671"/>
      <c r="N402" s="671"/>
      <c r="O402" s="671"/>
      <c r="P402" s="671"/>
      <c r="Q402" s="671"/>
      <c r="R402" s="671"/>
      <c r="S402" s="671"/>
      <c r="T402" s="671"/>
      <c r="U402" s="671"/>
      <c r="V402" s="671"/>
      <c r="W402" s="671"/>
      <c r="X402" s="671"/>
      <c r="Y402" s="671"/>
      <c r="Z402" s="671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76">
        <v>4680115881907</v>
      </c>
      <c r="E403" s="677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93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2"/>
      <c r="R403" s="682"/>
      <c r="S403" s="682"/>
      <c r="T403" s="683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76">
        <v>4680115881907</v>
      </c>
      <c r="E404" s="677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103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2"/>
      <c r="R404" s="682"/>
      <c r="S404" s="682"/>
      <c r="T404" s="683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76">
        <v>4680115884892</v>
      </c>
      <c r="E405" s="677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991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82"/>
      <c r="R405" s="682"/>
      <c r="S405" s="682"/>
      <c r="T405" s="683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76">
        <v>4680115884885</v>
      </c>
      <c r="E406" s="677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9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82"/>
      <c r="R406" s="682"/>
      <c r="S406" s="682"/>
      <c r="T406" s="683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76">
        <v>4680115884908</v>
      </c>
      <c r="E407" s="677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9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82"/>
      <c r="R407" s="682"/>
      <c r="S407" s="682"/>
      <c r="T407" s="683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0"/>
      <c r="B408" s="671"/>
      <c r="C408" s="671"/>
      <c r="D408" s="671"/>
      <c r="E408" s="671"/>
      <c r="F408" s="671"/>
      <c r="G408" s="671"/>
      <c r="H408" s="671"/>
      <c r="I408" s="671"/>
      <c r="J408" s="671"/>
      <c r="K408" s="671"/>
      <c r="L408" s="671"/>
      <c r="M408" s="671"/>
      <c r="N408" s="671"/>
      <c r="O408" s="672"/>
      <c r="P408" s="678" t="s">
        <v>87</v>
      </c>
      <c r="Q408" s="668"/>
      <c r="R408" s="668"/>
      <c r="S408" s="668"/>
      <c r="T408" s="668"/>
      <c r="U408" s="668"/>
      <c r="V408" s="669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1"/>
      <c r="B409" s="671"/>
      <c r="C409" s="671"/>
      <c r="D409" s="671"/>
      <c r="E409" s="671"/>
      <c r="F409" s="671"/>
      <c r="G409" s="671"/>
      <c r="H409" s="671"/>
      <c r="I409" s="671"/>
      <c r="J409" s="671"/>
      <c r="K409" s="671"/>
      <c r="L409" s="671"/>
      <c r="M409" s="671"/>
      <c r="N409" s="671"/>
      <c r="O409" s="672"/>
      <c r="P409" s="678" t="s">
        <v>87</v>
      </c>
      <c r="Q409" s="668"/>
      <c r="R409" s="668"/>
      <c r="S409" s="668"/>
      <c r="T409" s="668"/>
      <c r="U409" s="668"/>
      <c r="V409" s="669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80" t="s">
        <v>144</v>
      </c>
      <c r="B410" s="671"/>
      <c r="C410" s="671"/>
      <c r="D410" s="671"/>
      <c r="E410" s="671"/>
      <c r="F410" s="671"/>
      <c r="G410" s="671"/>
      <c r="H410" s="671"/>
      <c r="I410" s="671"/>
      <c r="J410" s="671"/>
      <c r="K410" s="671"/>
      <c r="L410" s="671"/>
      <c r="M410" s="671"/>
      <c r="N410" s="671"/>
      <c r="O410" s="671"/>
      <c r="P410" s="671"/>
      <c r="Q410" s="671"/>
      <c r="R410" s="671"/>
      <c r="S410" s="671"/>
      <c r="T410" s="671"/>
      <c r="U410" s="671"/>
      <c r="V410" s="671"/>
      <c r="W410" s="671"/>
      <c r="X410" s="671"/>
      <c r="Y410" s="671"/>
      <c r="Z410" s="671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76">
        <v>4607091384802</v>
      </c>
      <c r="E411" s="677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9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82"/>
      <c r="R411" s="682"/>
      <c r="S411" s="682"/>
      <c r="T411" s="683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76">
        <v>4607091384826</v>
      </c>
      <c r="E412" s="677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75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82"/>
      <c r="R412" s="682"/>
      <c r="S412" s="682"/>
      <c r="T412" s="683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0"/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2"/>
      <c r="P413" s="678" t="s">
        <v>87</v>
      </c>
      <c r="Q413" s="668"/>
      <c r="R413" s="668"/>
      <c r="S413" s="668"/>
      <c r="T413" s="668"/>
      <c r="U413" s="668"/>
      <c r="V413" s="669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1"/>
      <c r="B414" s="671"/>
      <c r="C414" s="671"/>
      <c r="D414" s="671"/>
      <c r="E414" s="671"/>
      <c r="F414" s="671"/>
      <c r="G414" s="671"/>
      <c r="H414" s="671"/>
      <c r="I414" s="671"/>
      <c r="J414" s="671"/>
      <c r="K414" s="671"/>
      <c r="L414" s="671"/>
      <c r="M414" s="671"/>
      <c r="N414" s="671"/>
      <c r="O414" s="672"/>
      <c r="P414" s="678" t="s">
        <v>87</v>
      </c>
      <c r="Q414" s="668"/>
      <c r="R414" s="668"/>
      <c r="S414" s="668"/>
      <c r="T414" s="668"/>
      <c r="U414" s="668"/>
      <c r="V414" s="669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80" t="s">
        <v>63</v>
      </c>
      <c r="B415" s="671"/>
      <c r="C415" s="671"/>
      <c r="D415" s="671"/>
      <c r="E415" s="671"/>
      <c r="F415" s="671"/>
      <c r="G415" s="671"/>
      <c r="H415" s="671"/>
      <c r="I415" s="671"/>
      <c r="J415" s="671"/>
      <c r="K415" s="671"/>
      <c r="L415" s="671"/>
      <c r="M415" s="671"/>
      <c r="N415" s="671"/>
      <c r="O415" s="671"/>
      <c r="P415" s="671"/>
      <c r="Q415" s="671"/>
      <c r="R415" s="671"/>
      <c r="S415" s="671"/>
      <c r="T415" s="671"/>
      <c r="U415" s="671"/>
      <c r="V415" s="671"/>
      <c r="W415" s="671"/>
      <c r="X415" s="671"/>
      <c r="Y415" s="671"/>
      <c r="Z415" s="671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6">
        <v>4607091384246</v>
      </c>
      <c r="E416" s="677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9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82"/>
      <c r="R416" s="682"/>
      <c r="S416" s="682"/>
      <c r="T416" s="683"/>
      <c r="U416" s="34"/>
      <c r="V416" s="34"/>
      <c r="W416" s="35" t="s">
        <v>68</v>
      </c>
      <c r="X416" s="663">
        <v>870</v>
      </c>
      <c r="Y416" s="664">
        <f>IFERROR(IF(X416="",0,CEILING((X416/$H416),1)*$H416),"")</f>
        <v>873</v>
      </c>
      <c r="Z416" s="36">
        <f>IFERROR(IF(Y416=0,"",ROUNDUP(Y416/H416,0)*0.01898),"")</f>
        <v>1.8410600000000001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920.17000000000007</v>
      </c>
      <c r="BN416" s="64">
        <f>IFERROR(Y416*I416/H416,"0")</f>
        <v>923.34299999999996</v>
      </c>
      <c r="BO416" s="64">
        <f>IFERROR(1/J416*(X416/H416),"0")</f>
        <v>1.5104166666666667</v>
      </c>
      <c r="BP416" s="64">
        <f>IFERROR(1/J416*(Y416/H416),"0")</f>
        <v>1.515625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76">
        <v>4680115881976</v>
      </c>
      <c r="E417" s="677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747" t="s">
        <v>639</v>
      </c>
      <c r="Q417" s="682"/>
      <c r="R417" s="682"/>
      <c r="S417" s="682"/>
      <c r="T417" s="683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76">
        <v>4607091384253</v>
      </c>
      <c r="E418" s="677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7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82"/>
      <c r="R418" s="682"/>
      <c r="S418" s="682"/>
      <c r="T418" s="683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76">
        <v>4607091384253</v>
      </c>
      <c r="E419" s="677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90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82"/>
      <c r="R419" s="682"/>
      <c r="S419" s="682"/>
      <c r="T419" s="683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76">
        <v>4680115881969</v>
      </c>
      <c r="E420" s="677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76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82"/>
      <c r="R420" s="682"/>
      <c r="S420" s="682"/>
      <c r="T420" s="683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0"/>
      <c r="B421" s="671"/>
      <c r="C421" s="671"/>
      <c r="D421" s="671"/>
      <c r="E421" s="671"/>
      <c r="F421" s="671"/>
      <c r="G421" s="671"/>
      <c r="H421" s="671"/>
      <c r="I421" s="671"/>
      <c r="J421" s="671"/>
      <c r="K421" s="671"/>
      <c r="L421" s="671"/>
      <c r="M421" s="671"/>
      <c r="N421" s="671"/>
      <c r="O421" s="672"/>
      <c r="P421" s="678" t="s">
        <v>87</v>
      </c>
      <c r="Q421" s="668"/>
      <c r="R421" s="668"/>
      <c r="S421" s="668"/>
      <c r="T421" s="668"/>
      <c r="U421" s="668"/>
      <c r="V421" s="669"/>
      <c r="W421" s="37" t="s">
        <v>88</v>
      </c>
      <c r="X421" s="665">
        <f>IFERROR(X416/H416,"0")+IFERROR(X417/H417,"0")+IFERROR(X418/H418,"0")+IFERROR(X419/H419,"0")+IFERROR(X420/H420,"0")</f>
        <v>96.666666666666671</v>
      </c>
      <c r="Y421" s="665">
        <f>IFERROR(Y416/H416,"0")+IFERROR(Y417/H417,"0")+IFERROR(Y418/H418,"0")+IFERROR(Y419/H419,"0")+IFERROR(Y420/H420,"0")</f>
        <v>97</v>
      </c>
      <c r="Z421" s="665">
        <f>IFERROR(IF(Z416="",0,Z416),"0")+IFERROR(IF(Z417="",0,Z417),"0")+IFERROR(IF(Z418="",0,Z418),"0")+IFERROR(IF(Z419="",0,Z419),"0")+IFERROR(IF(Z420="",0,Z420),"0")</f>
        <v>1.8410600000000001</v>
      </c>
      <c r="AA421" s="666"/>
      <c r="AB421" s="666"/>
      <c r="AC421" s="666"/>
    </row>
    <row r="422" spans="1:68" x14ac:dyDescent="0.2">
      <c r="A422" s="671"/>
      <c r="B422" s="671"/>
      <c r="C422" s="671"/>
      <c r="D422" s="671"/>
      <c r="E422" s="671"/>
      <c r="F422" s="671"/>
      <c r="G422" s="671"/>
      <c r="H422" s="671"/>
      <c r="I422" s="671"/>
      <c r="J422" s="671"/>
      <c r="K422" s="671"/>
      <c r="L422" s="671"/>
      <c r="M422" s="671"/>
      <c r="N422" s="671"/>
      <c r="O422" s="672"/>
      <c r="P422" s="678" t="s">
        <v>87</v>
      </c>
      <c r="Q422" s="668"/>
      <c r="R422" s="668"/>
      <c r="S422" s="668"/>
      <c r="T422" s="668"/>
      <c r="U422" s="668"/>
      <c r="V422" s="669"/>
      <c r="W422" s="37" t="s">
        <v>68</v>
      </c>
      <c r="X422" s="665">
        <f>IFERROR(SUM(X416:X420),"0")</f>
        <v>870</v>
      </c>
      <c r="Y422" s="665">
        <f>IFERROR(SUM(Y416:Y420),"0")</f>
        <v>873</v>
      </c>
      <c r="Z422" s="37"/>
      <c r="AA422" s="666"/>
      <c r="AB422" s="666"/>
      <c r="AC422" s="666"/>
    </row>
    <row r="423" spans="1:68" ht="14.25" customHeight="1" x14ac:dyDescent="0.25">
      <c r="A423" s="680" t="s">
        <v>170</v>
      </c>
      <c r="B423" s="671"/>
      <c r="C423" s="671"/>
      <c r="D423" s="671"/>
      <c r="E423" s="671"/>
      <c r="F423" s="671"/>
      <c r="G423" s="671"/>
      <c r="H423" s="671"/>
      <c r="I423" s="671"/>
      <c r="J423" s="671"/>
      <c r="K423" s="671"/>
      <c r="L423" s="671"/>
      <c r="M423" s="671"/>
      <c r="N423" s="671"/>
      <c r="O423" s="671"/>
      <c r="P423" s="671"/>
      <c r="Q423" s="671"/>
      <c r="R423" s="671"/>
      <c r="S423" s="671"/>
      <c r="T423" s="671"/>
      <c r="U423" s="671"/>
      <c r="V423" s="671"/>
      <c r="W423" s="671"/>
      <c r="X423" s="671"/>
      <c r="Y423" s="671"/>
      <c r="Z423" s="671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76">
        <v>4607091389357</v>
      </c>
      <c r="E424" s="677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901" t="s">
        <v>650</v>
      </c>
      <c r="Q424" s="682"/>
      <c r="R424" s="682"/>
      <c r="S424" s="682"/>
      <c r="T424" s="683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0"/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72"/>
      <c r="P425" s="678" t="s">
        <v>87</v>
      </c>
      <c r="Q425" s="668"/>
      <c r="R425" s="668"/>
      <c r="S425" s="668"/>
      <c r="T425" s="668"/>
      <c r="U425" s="668"/>
      <c r="V425" s="669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1"/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2"/>
      <c r="P426" s="678" t="s">
        <v>87</v>
      </c>
      <c r="Q426" s="668"/>
      <c r="R426" s="668"/>
      <c r="S426" s="668"/>
      <c r="T426" s="668"/>
      <c r="U426" s="668"/>
      <c r="V426" s="669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790" t="s">
        <v>652</v>
      </c>
      <c r="B427" s="791"/>
      <c r="C427" s="791"/>
      <c r="D427" s="791"/>
      <c r="E427" s="791"/>
      <c r="F427" s="791"/>
      <c r="G427" s="791"/>
      <c r="H427" s="791"/>
      <c r="I427" s="791"/>
      <c r="J427" s="791"/>
      <c r="K427" s="791"/>
      <c r="L427" s="791"/>
      <c r="M427" s="791"/>
      <c r="N427" s="791"/>
      <c r="O427" s="791"/>
      <c r="P427" s="791"/>
      <c r="Q427" s="791"/>
      <c r="R427" s="791"/>
      <c r="S427" s="791"/>
      <c r="T427" s="791"/>
      <c r="U427" s="791"/>
      <c r="V427" s="791"/>
      <c r="W427" s="791"/>
      <c r="X427" s="791"/>
      <c r="Y427" s="791"/>
      <c r="Z427" s="791"/>
      <c r="AA427" s="48"/>
      <c r="AB427" s="48"/>
      <c r="AC427" s="48"/>
    </row>
    <row r="428" spans="1:68" ht="16.5" customHeight="1" x14ac:dyDescent="0.25">
      <c r="A428" s="686" t="s">
        <v>653</v>
      </c>
      <c r="B428" s="671"/>
      <c r="C428" s="671"/>
      <c r="D428" s="671"/>
      <c r="E428" s="671"/>
      <c r="F428" s="671"/>
      <c r="G428" s="671"/>
      <c r="H428" s="671"/>
      <c r="I428" s="671"/>
      <c r="J428" s="671"/>
      <c r="K428" s="671"/>
      <c r="L428" s="671"/>
      <c r="M428" s="671"/>
      <c r="N428" s="671"/>
      <c r="O428" s="671"/>
      <c r="P428" s="671"/>
      <c r="Q428" s="671"/>
      <c r="R428" s="671"/>
      <c r="S428" s="671"/>
      <c r="T428" s="671"/>
      <c r="U428" s="671"/>
      <c r="V428" s="671"/>
      <c r="W428" s="671"/>
      <c r="X428" s="671"/>
      <c r="Y428" s="671"/>
      <c r="Z428" s="671"/>
      <c r="AA428" s="658"/>
      <c r="AB428" s="658"/>
      <c r="AC428" s="658"/>
    </row>
    <row r="429" spans="1:68" ht="14.25" customHeight="1" x14ac:dyDescent="0.25">
      <c r="A429" s="680" t="s">
        <v>144</v>
      </c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76">
        <v>4680115886100</v>
      </c>
      <c r="E430" s="677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763" t="s">
        <v>656</v>
      </c>
      <c r="Q430" s="682"/>
      <c r="R430" s="682"/>
      <c r="S430" s="682"/>
      <c r="T430" s="683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76">
        <v>4680115886117</v>
      </c>
      <c r="E431" s="677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930" t="s">
        <v>660</v>
      </c>
      <c r="Q431" s="682"/>
      <c r="R431" s="682"/>
      <c r="S431" s="682"/>
      <c r="T431" s="683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76">
        <v>4680115886117</v>
      </c>
      <c r="E432" s="677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1027" t="s">
        <v>660</v>
      </c>
      <c r="Q432" s="682"/>
      <c r="R432" s="682"/>
      <c r="S432" s="682"/>
      <c r="T432" s="683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76">
        <v>4680115886124</v>
      </c>
      <c r="E433" s="677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710" t="s">
        <v>665</v>
      </c>
      <c r="Q433" s="682"/>
      <c r="R433" s="682"/>
      <c r="S433" s="682"/>
      <c r="T433" s="683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76">
        <v>4680115883147</v>
      </c>
      <c r="E434" s="677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7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82"/>
      <c r="R434" s="682"/>
      <c r="S434" s="682"/>
      <c r="T434" s="683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76">
        <v>4680115883147</v>
      </c>
      <c r="E435" s="677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717" t="s">
        <v>670</v>
      </c>
      <c r="Q435" s="682"/>
      <c r="R435" s="682"/>
      <c r="S435" s="682"/>
      <c r="T435" s="683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76">
        <v>4607091384338</v>
      </c>
      <c r="E436" s="677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7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82"/>
      <c r="R436" s="682"/>
      <c r="S436" s="682"/>
      <c r="T436" s="683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76">
        <v>4607091389524</v>
      </c>
      <c r="E437" s="677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104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82"/>
      <c r="R437" s="682"/>
      <c r="S437" s="682"/>
      <c r="T437" s="683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76">
        <v>4680115883161</v>
      </c>
      <c r="E438" s="677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9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82"/>
      <c r="R438" s="682"/>
      <c r="S438" s="682"/>
      <c r="T438" s="683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76">
        <v>4680115883161</v>
      </c>
      <c r="E439" s="677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709" t="s">
        <v>680</v>
      </c>
      <c r="Q439" s="682"/>
      <c r="R439" s="682"/>
      <c r="S439" s="682"/>
      <c r="T439" s="683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76">
        <v>4607091389531</v>
      </c>
      <c r="E440" s="677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82"/>
      <c r="R440" s="682"/>
      <c r="S440" s="682"/>
      <c r="T440" s="683"/>
      <c r="U440" s="34"/>
      <c r="V440" s="34"/>
      <c r="W440" s="35" t="s">
        <v>68</v>
      </c>
      <c r="X440" s="663">
        <v>33</v>
      </c>
      <c r="Y440" s="664">
        <f t="shared" si="63"/>
        <v>33.6</v>
      </c>
      <c r="Z440" s="36">
        <f t="shared" si="68"/>
        <v>8.0320000000000003E-2</v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35.042857142857144</v>
      </c>
      <c r="BN440" s="64">
        <f t="shared" si="65"/>
        <v>35.68</v>
      </c>
      <c r="BO440" s="64">
        <f t="shared" si="66"/>
        <v>6.7155067155067152E-2</v>
      </c>
      <c r="BP440" s="64">
        <f t="shared" si="67"/>
        <v>6.8376068376068383E-2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76">
        <v>4607091384345</v>
      </c>
      <c r="E441" s="677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82"/>
      <c r="R441" s="682"/>
      <c r="S441" s="682"/>
      <c r="T441" s="683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0"/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72"/>
      <c r="P442" s="678" t="s">
        <v>87</v>
      </c>
      <c r="Q442" s="668"/>
      <c r="R442" s="668"/>
      <c r="S442" s="668"/>
      <c r="T442" s="668"/>
      <c r="U442" s="668"/>
      <c r="V442" s="669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15.714285714285714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16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8.0320000000000003E-2</v>
      </c>
      <c r="AA442" s="666"/>
      <c r="AB442" s="666"/>
      <c r="AC442" s="666"/>
    </row>
    <row r="443" spans="1:68" x14ac:dyDescent="0.2">
      <c r="A443" s="671"/>
      <c r="B443" s="671"/>
      <c r="C443" s="671"/>
      <c r="D443" s="671"/>
      <c r="E443" s="671"/>
      <c r="F443" s="671"/>
      <c r="G443" s="671"/>
      <c r="H443" s="671"/>
      <c r="I443" s="671"/>
      <c r="J443" s="671"/>
      <c r="K443" s="671"/>
      <c r="L443" s="671"/>
      <c r="M443" s="671"/>
      <c r="N443" s="671"/>
      <c r="O443" s="672"/>
      <c r="P443" s="678" t="s">
        <v>87</v>
      </c>
      <c r="Q443" s="668"/>
      <c r="R443" s="668"/>
      <c r="S443" s="668"/>
      <c r="T443" s="668"/>
      <c r="U443" s="668"/>
      <c r="V443" s="669"/>
      <c r="W443" s="37" t="s">
        <v>68</v>
      </c>
      <c r="X443" s="665">
        <f>IFERROR(SUM(X430:X441),"0")</f>
        <v>33</v>
      </c>
      <c r="Y443" s="665">
        <f>IFERROR(SUM(Y430:Y441),"0")</f>
        <v>33.6</v>
      </c>
      <c r="Z443" s="37"/>
      <c r="AA443" s="666"/>
      <c r="AB443" s="666"/>
      <c r="AC443" s="666"/>
    </row>
    <row r="444" spans="1:68" ht="14.25" customHeight="1" x14ac:dyDescent="0.25">
      <c r="A444" s="680" t="s">
        <v>63</v>
      </c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76">
        <v>4607091384352</v>
      </c>
      <c r="E445" s="677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105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82"/>
      <c r="R445" s="682"/>
      <c r="S445" s="682"/>
      <c r="T445" s="683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76">
        <v>4607091389654</v>
      </c>
      <c r="E446" s="677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6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82"/>
      <c r="R446" s="682"/>
      <c r="S446" s="682"/>
      <c r="T446" s="683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0"/>
      <c r="B447" s="671"/>
      <c r="C447" s="671"/>
      <c r="D447" s="671"/>
      <c r="E447" s="671"/>
      <c r="F447" s="671"/>
      <c r="G447" s="671"/>
      <c r="H447" s="671"/>
      <c r="I447" s="671"/>
      <c r="J447" s="671"/>
      <c r="K447" s="671"/>
      <c r="L447" s="671"/>
      <c r="M447" s="671"/>
      <c r="N447" s="671"/>
      <c r="O447" s="672"/>
      <c r="P447" s="678" t="s">
        <v>87</v>
      </c>
      <c r="Q447" s="668"/>
      <c r="R447" s="668"/>
      <c r="S447" s="668"/>
      <c r="T447" s="668"/>
      <c r="U447" s="668"/>
      <c r="V447" s="669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1"/>
      <c r="B448" s="671"/>
      <c r="C448" s="671"/>
      <c r="D448" s="671"/>
      <c r="E448" s="671"/>
      <c r="F448" s="671"/>
      <c r="G448" s="671"/>
      <c r="H448" s="671"/>
      <c r="I448" s="671"/>
      <c r="J448" s="671"/>
      <c r="K448" s="671"/>
      <c r="L448" s="671"/>
      <c r="M448" s="671"/>
      <c r="N448" s="671"/>
      <c r="O448" s="672"/>
      <c r="P448" s="678" t="s">
        <v>87</v>
      </c>
      <c r="Q448" s="668"/>
      <c r="R448" s="668"/>
      <c r="S448" s="668"/>
      <c r="T448" s="668"/>
      <c r="U448" s="668"/>
      <c r="V448" s="669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686" t="s">
        <v>692</v>
      </c>
      <c r="B449" s="671"/>
      <c r="C449" s="671"/>
      <c r="D449" s="671"/>
      <c r="E449" s="671"/>
      <c r="F449" s="671"/>
      <c r="G449" s="671"/>
      <c r="H449" s="671"/>
      <c r="I449" s="671"/>
      <c r="J449" s="671"/>
      <c r="K449" s="671"/>
      <c r="L449" s="671"/>
      <c r="M449" s="671"/>
      <c r="N449" s="671"/>
      <c r="O449" s="671"/>
      <c r="P449" s="671"/>
      <c r="Q449" s="671"/>
      <c r="R449" s="671"/>
      <c r="S449" s="671"/>
      <c r="T449" s="671"/>
      <c r="U449" s="671"/>
      <c r="V449" s="671"/>
      <c r="W449" s="671"/>
      <c r="X449" s="671"/>
      <c r="Y449" s="671"/>
      <c r="Z449" s="671"/>
      <c r="AA449" s="658"/>
      <c r="AB449" s="658"/>
      <c r="AC449" s="658"/>
    </row>
    <row r="450" spans="1:68" ht="14.25" customHeight="1" x14ac:dyDescent="0.25">
      <c r="A450" s="680" t="s">
        <v>133</v>
      </c>
      <c r="B450" s="671"/>
      <c r="C450" s="671"/>
      <c r="D450" s="671"/>
      <c r="E450" s="671"/>
      <c r="F450" s="671"/>
      <c r="G450" s="671"/>
      <c r="H450" s="671"/>
      <c r="I450" s="671"/>
      <c r="J450" s="671"/>
      <c r="K450" s="671"/>
      <c r="L450" s="671"/>
      <c r="M450" s="671"/>
      <c r="N450" s="671"/>
      <c r="O450" s="671"/>
      <c r="P450" s="671"/>
      <c r="Q450" s="671"/>
      <c r="R450" s="671"/>
      <c r="S450" s="671"/>
      <c r="T450" s="671"/>
      <c r="U450" s="671"/>
      <c r="V450" s="671"/>
      <c r="W450" s="671"/>
      <c r="X450" s="671"/>
      <c r="Y450" s="671"/>
      <c r="Z450" s="671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76">
        <v>4680115885240</v>
      </c>
      <c r="E451" s="677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9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82"/>
      <c r="R451" s="682"/>
      <c r="S451" s="682"/>
      <c r="T451" s="683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76">
        <v>4607091389364</v>
      </c>
      <c r="E452" s="677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102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82"/>
      <c r="R452" s="682"/>
      <c r="S452" s="682"/>
      <c r="T452" s="683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0"/>
      <c r="B453" s="671"/>
      <c r="C453" s="671"/>
      <c r="D453" s="671"/>
      <c r="E453" s="671"/>
      <c r="F453" s="671"/>
      <c r="G453" s="671"/>
      <c r="H453" s="671"/>
      <c r="I453" s="671"/>
      <c r="J453" s="671"/>
      <c r="K453" s="671"/>
      <c r="L453" s="671"/>
      <c r="M453" s="671"/>
      <c r="N453" s="671"/>
      <c r="O453" s="672"/>
      <c r="P453" s="678" t="s">
        <v>87</v>
      </c>
      <c r="Q453" s="668"/>
      <c r="R453" s="668"/>
      <c r="S453" s="668"/>
      <c r="T453" s="668"/>
      <c r="U453" s="668"/>
      <c r="V453" s="669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1"/>
      <c r="B454" s="671"/>
      <c r="C454" s="671"/>
      <c r="D454" s="671"/>
      <c r="E454" s="671"/>
      <c r="F454" s="671"/>
      <c r="G454" s="671"/>
      <c r="H454" s="671"/>
      <c r="I454" s="671"/>
      <c r="J454" s="671"/>
      <c r="K454" s="671"/>
      <c r="L454" s="671"/>
      <c r="M454" s="671"/>
      <c r="N454" s="671"/>
      <c r="O454" s="672"/>
      <c r="P454" s="678" t="s">
        <v>87</v>
      </c>
      <c r="Q454" s="668"/>
      <c r="R454" s="668"/>
      <c r="S454" s="668"/>
      <c r="T454" s="668"/>
      <c r="U454" s="668"/>
      <c r="V454" s="669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80" t="s">
        <v>144</v>
      </c>
      <c r="B455" s="671"/>
      <c r="C455" s="671"/>
      <c r="D455" s="671"/>
      <c r="E455" s="671"/>
      <c r="F455" s="671"/>
      <c r="G455" s="671"/>
      <c r="H455" s="671"/>
      <c r="I455" s="671"/>
      <c r="J455" s="671"/>
      <c r="K455" s="671"/>
      <c r="L455" s="671"/>
      <c r="M455" s="671"/>
      <c r="N455" s="671"/>
      <c r="O455" s="671"/>
      <c r="P455" s="671"/>
      <c r="Q455" s="671"/>
      <c r="R455" s="671"/>
      <c r="S455" s="671"/>
      <c r="T455" s="671"/>
      <c r="U455" s="671"/>
      <c r="V455" s="671"/>
      <c r="W455" s="671"/>
      <c r="X455" s="671"/>
      <c r="Y455" s="671"/>
      <c r="Z455" s="671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76">
        <v>4680115886094</v>
      </c>
      <c r="E456" s="677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974" t="s">
        <v>701</v>
      </c>
      <c r="Q456" s="682"/>
      <c r="R456" s="682"/>
      <c r="S456" s="682"/>
      <c r="T456" s="683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76">
        <v>4607091389425</v>
      </c>
      <c r="E457" s="677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102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82"/>
      <c r="R457" s="682"/>
      <c r="S457" s="682"/>
      <c r="T457" s="683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76">
        <v>4680115880771</v>
      </c>
      <c r="E458" s="677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1007" t="s">
        <v>708</v>
      </c>
      <c r="Q458" s="682"/>
      <c r="R458" s="682"/>
      <c r="S458" s="682"/>
      <c r="T458" s="683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76">
        <v>4607091389500</v>
      </c>
      <c r="E459" s="677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84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82"/>
      <c r="R459" s="682"/>
      <c r="S459" s="682"/>
      <c r="T459" s="683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0"/>
      <c r="B460" s="671"/>
      <c r="C460" s="671"/>
      <c r="D460" s="671"/>
      <c r="E460" s="671"/>
      <c r="F460" s="671"/>
      <c r="G460" s="671"/>
      <c r="H460" s="671"/>
      <c r="I460" s="671"/>
      <c r="J460" s="671"/>
      <c r="K460" s="671"/>
      <c r="L460" s="671"/>
      <c r="M460" s="671"/>
      <c r="N460" s="671"/>
      <c r="O460" s="672"/>
      <c r="P460" s="678" t="s">
        <v>87</v>
      </c>
      <c r="Q460" s="668"/>
      <c r="R460" s="668"/>
      <c r="S460" s="668"/>
      <c r="T460" s="668"/>
      <c r="U460" s="668"/>
      <c r="V460" s="669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1"/>
      <c r="B461" s="671"/>
      <c r="C461" s="671"/>
      <c r="D461" s="671"/>
      <c r="E461" s="671"/>
      <c r="F461" s="671"/>
      <c r="G461" s="671"/>
      <c r="H461" s="671"/>
      <c r="I461" s="671"/>
      <c r="J461" s="671"/>
      <c r="K461" s="671"/>
      <c r="L461" s="671"/>
      <c r="M461" s="671"/>
      <c r="N461" s="671"/>
      <c r="O461" s="672"/>
      <c r="P461" s="678" t="s">
        <v>87</v>
      </c>
      <c r="Q461" s="668"/>
      <c r="R461" s="668"/>
      <c r="S461" s="668"/>
      <c r="T461" s="668"/>
      <c r="U461" s="668"/>
      <c r="V461" s="669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686" t="s">
        <v>712</v>
      </c>
      <c r="B462" s="671"/>
      <c r="C462" s="671"/>
      <c r="D462" s="671"/>
      <c r="E462" s="671"/>
      <c r="F462" s="671"/>
      <c r="G462" s="671"/>
      <c r="H462" s="671"/>
      <c r="I462" s="671"/>
      <c r="J462" s="671"/>
      <c r="K462" s="671"/>
      <c r="L462" s="671"/>
      <c r="M462" s="671"/>
      <c r="N462" s="671"/>
      <c r="O462" s="671"/>
      <c r="P462" s="671"/>
      <c r="Q462" s="671"/>
      <c r="R462" s="671"/>
      <c r="S462" s="671"/>
      <c r="T462" s="671"/>
      <c r="U462" s="671"/>
      <c r="V462" s="671"/>
      <c r="W462" s="671"/>
      <c r="X462" s="671"/>
      <c r="Y462" s="671"/>
      <c r="Z462" s="671"/>
      <c r="AA462" s="658"/>
      <c r="AB462" s="658"/>
      <c r="AC462" s="658"/>
    </row>
    <row r="463" spans="1:68" ht="14.25" customHeight="1" x14ac:dyDescent="0.25">
      <c r="A463" s="680" t="s">
        <v>144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76">
        <v>4680115885189</v>
      </c>
      <c r="E464" s="677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99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82"/>
      <c r="R464" s="682"/>
      <c r="S464" s="682"/>
      <c r="T464" s="683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76">
        <v>4680115885110</v>
      </c>
      <c r="E465" s="677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760" t="s">
        <v>718</v>
      </c>
      <c r="Q465" s="682"/>
      <c r="R465" s="682"/>
      <c r="S465" s="682"/>
      <c r="T465" s="683"/>
      <c r="U465" s="34"/>
      <c r="V465" s="34"/>
      <c r="W465" s="35" t="s">
        <v>68</v>
      </c>
      <c r="X465" s="663">
        <v>2</v>
      </c>
      <c r="Y465" s="664">
        <f>IFERROR(IF(X465="",0,CEILING((X465/$H465),1)*$H465),"")</f>
        <v>2.4</v>
      </c>
      <c r="Z465" s="36">
        <f>IFERROR(IF(Y465=0,"",ROUNDUP(Y465/H465,0)*0.00651),"")</f>
        <v>1.302E-2</v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3.5000000000000004</v>
      </c>
      <c r="BN465" s="64">
        <f>IFERROR(Y465*I465/H465,"0")</f>
        <v>4.2</v>
      </c>
      <c r="BO465" s="64">
        <f>IFERROR(1/J465*(X465/H465),"0")</f>
        <v>9.1575091575091579E-3</v>
      </c>
      <c r="BP465" s="64">
        <f>IFERROR(1/J465*(Y465/H465),"0")</f>
        <v>1.098901098901099E-2</v>
      </c>
    </row>
    <row r="466" spans="1:68" x14ac:dyDescent="0.2">
      <c r="A466" s="670"/>
      <c r="B466" s="671"/>
      <c r="C466" s="671"/>
      <c r="D466" s="671"/>
      <c r="E466" s="671"/>
      <c r="F466" s="671"/>
      <c r="G466" s="671"/>
      <c r="H466" s="671"/>
      <c r="I466" s="671"/>
      <c r="J466" s="671"/>
      <c r="K466" s="671"/>
      <c r="L466" s="671"/>
      <c r="M466" s="671"/>
      <c r="N466" s="671"/>
      <c r="O466" s="672"/>
      <c r="P466" s="678" t="s">
        <v>87</v>
      </c>
      <c r="Q466" s="668"/>
      <c r="R466" s="668"/>
      <c r="S466" s="668"/>
      <c r="T466" s="668"/>
      <c r="U466" s="668"/>
      <c r="V466" s="669"/>
      <c r="W466" s="37" t="s">
        <v>88</v>
      </c>
      <c r="X466" s="665">
        <f>IFERROR(X464/H464,"0")+IFERROR(X465/H465,"0")</f>
        <v>1.6666666666666667</v>
      </c>
      <c r="Y466" s="665">
        <f>IFERROR(Y464/H464,"0")+IFERROR(Y465/H465,"0")</f>
        <v>2</v>
      </c>
      <c r="Z466" s="665">
        <f>IFERROR(IF(Z464="",0,Z464),"0")+IFERROR(IF(Z465="",0,Z465),"0")</f>
        <v>1.302E-2</v>
      </c>
      <c r="AA466" s="666"/>
      <c r="AB466" s="666"/>
      <c r="AC466" s="666"/>
    </row>
    <row r="467" spans="1:68" x14ac:dyDescent="0.2">
      <c r="A467" s="671"/>
      <c r="B467" s="671"/>
      <c r="C467" s="671"/>
      <c r="D467" s="671"/>
      <c r="E467" s="671"/>
      <c r="F467" s="671"/>
      <c r="G467" s="671"/>
      <c r="H467" s="671"/>
      <c r="I467" s="671"/>
      <c r="J467" s="671"/>
      <c r="K467" s="671"/>
      <c r="L467" s="671"/>
      <c r="M467" s="671"/>
      <c r="N467" s="671"/>
      <c r="O467" s="672"/>
      <c r="P467" s="678" t="s">
        <v>87</v>
      </c>
      <c r="Q467" s="668"/>
      <c r="R467" s="668"/>
      <c r="S467" s="668"/>
      <c r="T467" s="668"/>
      <c r="U467" s="668"/>
      <c r="V467" s="669"/>
      <c r="W467" s="37" t="s">
        <v>68</v>
      </c>
      <c r="X467" s="665">
        <f>IFERROR(SUM(X464:X465),"0")</f>
        <v>2</v>
      </c>
      <c r="Y467" s="665">
        <f>IFERROR(SUM(Y464:Y465),"0")</f>
        <v>2.4</v>
      </c>
      <c r="Z467" s="37"/>
      <c r="AA467" s="666"/>
      <c r="AB467" s="666"/>
      <c r="AC467" s="666"/>
    </row>
    <row r="468" spans="1:68" ht="16.5" customHeight="1" x14ac:dyDescent="0.25">
      <c r="A468" s="686" t="s">
        <v>720</v>
      </c>
      <c r="B468" s="671"/>
      <c r="C468" s="671"/>
      <c r="D468" s="671"/>
      <c r="E468" s="671"/>
      <c r="F468" s="671"/>
      <c r="G468" s="671"/>
      <c r="H468" s="671"/>
      <c r="I468" s="671"/>
      <c r="J468" s="671"/>
      <c r="K468" s="671"/>
      <c r="L468" s="671"/>
      <c r="M468" s="671"/>
      <c r="N468" s="671"/>
      <c r="O468" s="671"/>
      <c r="P468" s="671"/>
      <c r="Q468" s="671"/>
      <c r="R468" s="671"/>
      <c r="S468" s="671"/>
      <c r="T468" s="671"/>
      <c r="U468" s="671"/>
      <c r="V468" s="671"/>
      <c r="W468" s="671"/>
      <c r="X468" s="671"/>
      <c r="Y468" s="671"/>
      <c r="Z468" s="671"/>
      <c r="AA468" s="658"/>
      <c r="AB468" s="658"/>
      <c r="AC468" s="658"/>
    </row>
    <row r="469" spans="1:68" ht="14.25" customHeight="1" x14ac:dyDescent="0.25">
      <c r="A469" s="680" t="s">
        <v>144</v>
      </c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76">
        <v>4680115885103</v>
      </c>
      <c r="E470" s="677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7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82"/>
      <c r="R470" s="682"/>
      <c r="S470" s="682"/>
      <c r="T470" s="683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0"/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72"/>
      <c r="P471" s="678" t="s">
        <v>87</v>
      </c>
      <c r="Q471" s="668"/>
      <c r="R471" s="668"/>
      <c r="S471" s="668"/>
      <c r="T471" s="668"/>
      <c r="U471" s="668"/>
      <c r="V471" s="669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1"/>
      <c r="B472" s="671"/>
      <c r="C472" s="671"/>
      <c r="D472" s="671"/>
      <c r="E472" s="671"/>
      <c r="F472" s="671"/>
      <c r="G472" s="671"/>
      <c r="H472" s="671"/>
      <c r="I472" s="671"/>
      <c r="J472" s="671"/>
      <c r="K472" s="671"/>
      <c r="L472" s="671"/>
      <c r="M472" s="671"/>
      <c r="N472" s="671"/>
      <c r="O472" s="672"/>
      <c r="P472" s="678" t="s">
        <v>87</v>
      </c>
      <c r="Q472" s="668"/>
      <c r="R472" s="668"/>
      <c r="S472" s="668"/>
      <c r="T472" s="668"/>
      <c r="U472" s="668"/>
      <c r="V472" s="669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80" t="s">
        <v>170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76">
        <v>4680115885509</v>
      </c>
      <c r="E474" s="677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975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82"/>
      <c r="R474" s="682"/>
      <c r="S474" s="682"/>
      <c r="T474" s="683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0"/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2"/>
      <c r="P475" s="678" t="s">
        <v>87</v>
      </c>
      <c r="Q475" s="668"/>
      <c r="R475" s="668"/>
      <c r="S475" s="668"/>
      <c r="T475" s="668"/>
      <c r="U475" s="668"/>
      <c r="V475" s="669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1"/>
      <c r="B476" s="671"/>
      <c r="C476" s="671"/>
      <c r="D476" s="671"/>
      <c r="E476" s="671"/>
      <c r="F476" s="671"/>
      <c r="G476" s="671"/>
      <c r="H476" s="671"/>
      <c r="I476" s="671"/>
      <c r="J476" s="671"/>
      <c r="K476" s="671"/>
      <c r="L476" s="671"/>
      <c r="M476" s="671"/>
      <c r="N476" s="671"/>
      <c r="O476" s="672"/>
      <c r="P476" s="678" t="s">
        <v>87</v>
      </c>
      <c r="Q476" s="668"/>
      <c r="R476" s="668"/>
      <c r="S476" s="668"/>
      <c r="T476" s="668"/>
      <c r="U476" s="668"/>
      <c r="V476" s="669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790" t="s">
        <v>727</v>
      </c>
      <c r="B477" s="791"/>
      <c r="C477" s="791"/>
      <c r="D477" s="791"/>
      <c r="E477" s="791"/>
      <c r="F477" s="791"/>
      <c r="G477" s="791"/>
      <c r="H477" s="791"/>
      <c r="I477" s="791"/>
      <c r="J477" s="791"/>
      <c r="K477" s="791"/>
      <c r="L477" s="791"/>
      <c r="M477" s="791"/>
      <c r="N477" s="791"/>
      <c r="O477" s="791"/>
      <c r="P477" s="791"/>
      <c r="Q477" s="791"/>
      <c r="R477" s="791"/>
      <c r="S477" s="791"/>
      <c r="T477" s="791"/>
      <c r="U477" s="791"/>
      <c r="V477" s="791"/>
      <c r="W477" s="791"/>
      <c r="X477" s="791"/>
      <c r="Y477" s="791"/>
      <c r="Z477" s="791"/>
      <c r="AA477" s="48"/>
      <c r="AB477" s="48"/>
      <c r="AC477" s="48"/>
    </row>
    <row r="478" spans="1:68" ht="16.5" customHeight="1" x14ac:dyDescent="0.25">
      <c r="A478" s="686" t="s">
        <v>727</v>
      </c>
      <c r="B478" s="671"/>
      <c r="C478" s="671"/>
      <c r="D478" s="671"/>
      <c r="E478" s="671"/>
      <c r="F478" s="671"/>
      <c r="G478" s="671"/>
      <c r="H478" s="671"/>
      <c r="I478" s="671"/>
      <c r="J478" s="671"/>
      <c r="K478" s="671"/>
      <c r="L478" s="671"/>
      <c r="M478" s="671"/>
      <c r="N478" s="671"/>
      <c r="O478" s="671"/>
      <c r="P478" s="671"/>
      <c r="Q478" s="671"/>
      <c r="R478" s="671"/>
      <c r="S478" s="671"/>
      <c r="T478" s="671"/>
      <c r="U478" s="671"/>
      <c r="V478" s="671"/>
      <c r="W478" s="671"/>
      <c r="X478" s="671"/>
      <c r="Y478" s="671"/>
      <c r="Z478" s="671"/>
      <c r="AA478" s="658"/>
      <c r="AB478" s="658"/>
      <c r="AC478" s="658"/>
    </row>
    <row r="479" spans="1:68" ht="14.25" customHeight="1" x14ac:dyDescent="0.25">
      <c r="A479" s="680" t="s">
        <v>97</v>
      </c>
      <c r="B479" s="671"/>
      <c r="C479" s="671"/>
      <c r="D479" s="671"/>
      <c r="E479" s="671"/>
      <c r="F479" s="671"/>
      <c r="G479" s="671"/>
      <c r="H479" s="671"/>
      <c r="I479" s="671"/>
      <c r="J479" s="671"/>
      <c r="K479" s="671"/>
      <c r="L479" s="671"/>
      <c r="M479" s="671"/>
      <c r="N479" s="671"/>
      <c r="O479" s="671"/>
      <c r="P479" s="671"/>
      <c r="Q479" s="671"/>
      <c r="R479" s="671"/>
      <c r="S479" s="671"/>
      <c r="T479" s="671"/>
      <c r="U479" s="671"/>
      <c r="V479" s="671"/>
      <c r="W479" s="671"/>
      <c r="X479" s="671"/>
      <c r="Y479" s="671"/>
      <c r="Z479" s="671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76">
        <v>4607091389067</v>
      </c>
      <c r="E480" s="677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9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82"/>
      <c r="R480" s="682"/>
      <c r="S480" s="682"/>
      <c r="T480" s="683"/>
      <c r="U480" s="34"/>
      <c r="V480" s="34"/>
      <c r="W480" s="35" t="s">
        <v>68</v>
      </c>
      <c r="X480" s="663">
        <v>84</v>
      </c>
      <c r="Y480" s="664">
        <f t="shared" ref="Y480:Y494" si="69">IFERROR(IF(X480="",0,CEILING((X480/$H480),1)*$H480),"")</f>
        <v>84.48</v>
      </c>
      <c r="Z480" s="36">
        <f>IFERROR(IF(Y480=0,"",ROUNDUP(Y480/H480,0)*0.01196),"")</f>
        <v>0.19136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89.72727272727272</v>
      </c>
      <c r="BN480" s="64">
        <f t="shared" ref="BN480:BN494" si="71">IFERROR(Y480*I480/H480,"0")</f>
        <v>90.24</v>
      </c>
      <c r="BO480" s="64">
        <f t="shared" ref="BO480:BO494" si="72">IFERROR(1/J480*(X480/H480),"0")</f>
        <v>0.15297202797202797</v>
      </c>
      <c r="BP480" s="64">
        <f t="shared" ref="BP480:BP494" si="73">IFERROR(1/J480*(Y480/H480),"0")</f>
        <v>0.15384615384615385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76">
        <v>4680115885271</v>
      </c>
      <c r="E481" s="677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9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82"/>
      <c r="R481" s="682"/>
      <c r="S481" s="682"/>
      <c r="T481" s="683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6">
        <v>4680115885226</v>
      </c>
      <c r="E482" s="677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9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82"/>
      <c r="R482" s="682"/>
      <c r="S482" s="682"/>
      <c r="T482" s="683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6">
        <v>4607091389104</v>
      </c>
      <c r="E483" s="677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7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2"/>
      <c r="R483" s="682"/>
      <c r="S483" s="682"/>
      <c r="T483" s="683"/>
      <c r="U483" s="34"/>
      <c r="V483" s="34"/>
      <c r="W483" s="35" t="s">
        <v>68</v>
      </c>
      <c r="X483" s="663">
        <v>685</v>
      </c>
      <c r="Y483" s="664">
        <f t="shared" si="69"/>
        <v>686.4</v>
      </c>
      <c r="Z483" s="36">
        <f>IFERROR(IF(Y483=0,"",ROUNDUP(Y483/H483,0)*0.01196),"")</f>
        <v>1.5548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731.70454545454538</v>
      </c>
      <c r="BN483" s="64">
        <f t="shared" si="71"/>
        <v>733.19999999999993</v>
      </c>
      <c r="BO483" s="64">
        <f t="shared" si="72"/>
        <v>1.2474504662004662</v>
      </c>
      <c r="BP483" s="64">
        <f t="shared" si="73"/>
        <v>1.25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76">
        <v>4680115884519</v>
      </c>
      <c r="E484" s="677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7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82"/>
      <c r="R484" s="682"/>
      <c r="S484" s="682"/>
      <c r="T484" s="683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76">
        <v>4680115886391</v>
      </c>
      <c r="E485" s="677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829" t="s">
        <v>745</v>
      </c>
      <c r="Q485" s="682"/>
      <c r="R485" s="682"/>
      <c r="S485" s="682"/>
      <c r="T485" s="683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76">
        <v>4680115880603</v>
      </c>
      <c r="E486" s="677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72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82"/>
      <c r="R486" s="682"/>
      <c r="S486" s="682"/>
      <c r="T486" s="683"/>
      <c r="U486" s="34"/>
      <c r="V486" s="34"/>
      <c r="W486" s="35" t="s">
        <v>68</v>
      </c>
      <c r="X486" s="663">
        <v>30</v>
      </c>
      <c r="Y486" s="664">
        <f t="shared" si="69"/>
        <v>32.4</v>
      </c>
      <c r="Z486" s="36">
        <f>IFERROR(IF(Y486=0,"",ROUNDUP(Y486/H486,0)*0.00902),"")</f>
        <v>8.1180000000000002E-2</v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31.75</v>
      </c>
      <c r="BN486" s="64">
        <f t="shared" si="71"/>
        <v>34.29</v>
      </c>
      <c r="BO486" s="64">
        <f t="shared" si="72"/>
        <v>6.3131313131313135E-2</v>
      </c>
      <c r="BP486" s="64">
        <f t="shared" si="73"/>
        <v>6.8181818181818177E-2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76">
        <v>4680115880603</v>
      </c>
      <c r="E487" s="677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8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82"/>
      <c r="R487" s="682"/>
      <c r="S487" s="682"/>
      <c r="T487" s="683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76">
        <v>4680115882782</v>
      </c>
      <c r="E488" s="677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79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82"/>
      <c r="R488" s="682"/>
      <c r="S488" s="682"/>
      <c r="T488" s="683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76">
        <v>4680115886469</v>
      </c>
      <c r="E489" s="677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905" t="s">
        <v>753</v>
      </c>
      <c r="Q489" s="682"/>
      <c r="R489" s="682"/>
      <c r="S489" s="682"/>
      <c r="T489" s="683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76">
        <v>4680115886483</v>
      </c>
      <c r="E490" s="677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783" t="s">
        <v>756</v>
      </c>
      <c r="Q490" s="682"/>
      <c r="R490" s="682"/>
      <c r="S490" s="682"/>
      <c r="T490" s="683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76">
        <v>4680115885479</v>
      </c>
      <c r="E491" s="677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925" t="s">
        <v>760</v>
      </c>
      <c r="Q491" s="682"/>
      <c r="R491" s="682"/>
      <c r="S491" s="682"/>
      <c r="T491" s="683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76">
        <v>4607091389982</v>
      </c>
      <c r="E492" s="677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96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82"/>
      <c r="R492" s="682"/>
      <c r="S492" s="682"/>
      <c r="T492" s="683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76">
        <v>4607091389982</v>
      </c>
      <c r="E493" s="677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2"/>
      <c r="R493" s="682"/>
      <c r="S493" s="682"/>
      <c r="T493" s="683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76">
        <v>4680115886490</v>
      </c>
      <c r="E494" s="677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969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82"/>
      <c r="R494" s="682"/>
      <c r="S494" s="682"/>
      <c r="T494" s="683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0"/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2"/>
      <c r="P495" s="678" t="s">
        <v>87</v>
      </c>
      <c r="Q495" s="668"/>
      <c r="R495" s="668"/>
      <c r="S495" s="668"/>
      <c r="T495" s="668"/>
      <c r="U495" s="668"/>
      <c r="V495" s="669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153.97727272727272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155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1.82734</v>
      </c>
      <c r="AA495" s="666"/>
      <c r="AB495" s="666"/>
      <c r="AC495" s="666"/>
    </row>
    <row r="496" spans="1:68" x14ac:dyDescent="0.2">
      <c r="A496" s="671"/>
      <c r="B496" s="671"/>
      <c r="C496" s="671"/>
      <c r="D496" s="671"/>
      <c r="E496" s="671"/>
      <c r="F496" s="671"/>
      <c r="G496" s="671"/>
      <c r="H496" s="671"/>
      <c r="I496" s="671"/>
      <c r="J496" s="671"/>
      <c r="K496" s="671"/>
      <c r="L496" s="671"/>
      <c r="M496" s="671"/>
      <c r="N496" s="671"/>
      <c r="O496" s="672"/>
      <c r="P496" s="678" t="s">
        <v>87</v>
      </c>
      <c r="Q496" s="668"/>
      <c r="R496" s="668"/>
      <c r="S496" s="668"/>
      <c r="T496" s="668"/>
      <c r="U496" s="668"/>
      <c r="V496" s="669"/>
      <c r="W496" s="37" t="s">
        <v>68</v>
      </c>
      <c r="X496" s="665">
        <f>IFERROR(SUM(X480:X494),"0")</f>
        <v>799</v>
      </c>
      <c r="Y496" s="665">
        <f>IFERROR(SUM(Y480:Y494),"0")</f>
        <v>803.28</v>
      </c>
      <c r="Z496" s="37"/>
      <c r="AA496" s="666"/>
      <c r="AB496" s="666"/>
      <c r="AC496" s="666"/>
    </row>
    <row r="497" spans="1:68" ht="14.25" customHeight="1" x14ac:dyDescent="0.25">
      <c r="A497" s="680" t="s">
        <v>133</v>
      </c>
      <c r="B497" s="671"/>
      <c r="C497" s="671"/>
      <c r="D497" s="671"/>
      <c r="E497" s="671"/>
      <c r="F497" s="671"/>
      <c r="G497" s="671"/>
      <c r="H497" s="671"/>
      <c r="I497" s="671"/>
      <c r="J497" s="671"/>
      <c r="K497" s="671"/>
      <c r="L497" s="671"/>
      <c r="M497" s="671"/>
      <c r="N497" s="671"/>
      <c r="O497" s="671"/>
      <c r="P497" s="671"/>
      <c r="Q497" s="671"/>
      <c r="R497" s="671"/>
      <c r="S497" s="671"/>
      <c r="T497" s="671"/>
      <c r="U497" s="671"/>
      <c r="V497" s="671"/>
      <c r="W497" s="671"/>
      <c r="X497" s="671"/>
      <c r="Y497" s="671"/>
      <c r="Z497" s="671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6">
        <v>4607091388930</v>
      </c>
      <c r="E498" s="677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9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82"/>
      <c r="R498" s="682"/>
      <c r="S498" s="682"/>
      <c r="T498" s="683"/>
      <c r="U498" s="34"/>
      <c r="V498" s="34"/>
      <c r="W498" s="35" t="s">
        <v>68</v>
      </c>
      <c r="X498" s="663">
        <v>517</v>
      </c>
      <c r="Y498" s="664">
        <f>IFERROR(IF(X498="",0,CEILING((X498/$H498),1)*$H498),"")</f>
        <v>517.44000000000005</v>
      </c>
      <c r="Z498" s="36">
        <f>IFERROR(IF(Y498=0,"",ROUNDUP(Y498/H498,0)*0.01196),"")</f>
        <v>1.17208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552.24999999999989</v>
      </c>
      <c r="BN498" s="64">
        <f>IFERROR(Y498*I498/H498,"0")</f>
        <v>552.72</v>
      </c>
      <c r="BO498" s="64">
        <f>IFERROR(1/J498*(X498/H498),"0")</f>
        <v>0.94150641025641024</v>
      </c>
      <c r="BP498" s="64">
        <f>IFERROR(1/J498*(Y498/H498),"0")</f>
        <v>0.9423076923076924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76">
        <v>4607091388930</v>
      </c>
      <c r="E499" s="677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721" t="s">
        <v>770</v>
      </c>
      <c r="Q499" s="682"/>
      <c r="R499" s="682"/>
      <c r="S499" s="682"/>
      <c r="T499" s="683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76">
        <v>4680115886407</v>
      </c>
      <c r="E500" s="677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826" t="s">
        <v>774</v>
      </c>
      <c r="Q500" s="682"/>
      <c r="R500" s="682"/>
      <c r="S500" s="682"/>
      <c r="T500" s="683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76">
        <v>4680115880054</v>
      </c>
      <c r="E501" s="677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915" t="s">
        <v>777</v>
      </c>
      <c r="Q501" s="682"/>
      <c r="R501" s="682"/>
      <c r="S501" s="682"/>
      <c r="T501" s="683"/>
      <c r="U501" s="34"/>
      <c r="V501" s="34"/>
      <c r="W501" s="35" t="s">
        <v>68</v>
      </c>
      <c r="X501" s="663">
        <v>11</v>
      </c>
      <c r="Y501" s="664">
        <f>IFERROR(IF(X501="",0,CEILING((X501/$H501),1)*$H501),"")</f>
        <v>14.399999999999999</v>
      </c>
      <c r="Z501" s="36">
        <f>IFERROR(IF(Y501=0,"",ROUNDUP(Y501/H501,0)*0.00902),"")</f>
        <v>2.7060000000000001E-2</v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15.881249999999998</v>
      </c>
      <c r="BN501" s="64">
        <f>IFERROR(Y501*I501/H501,"0")</f>
        <v>20.79</v>
      </c>
      <c r="BO501" s="64">
        <f>IFERROR(1/J501*(X501/H501),"0")</f>
        <v>1.7361111111111115E-2</v>
      </c>
      <c r="BP501" s="64">
        <f>IFERROR(1/J501*(Y501/H501),"0")</f>
        <v>2.2727272727272728E-2</v>
      </c>
    </row>
    <row r="502" spans="1:68" x14ac:dyDescent="0.2">
      <c r="A502" s="670"/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2"/>
      <c r="P502" s="678" t="s">
        <v>87</v>
      </c>
      <c r="Q502" s="668"/>
      <c r="R502" s="668"/>
      <c r="S502" s="668"/>
      <c r="T502" s="668"/>
      <c r="U502" s="668"/>
      <c r="V502" s="669"/>
      <c r="W502" s="37" t="s">
        <v>88</v>
      </c>
      <c r="X502" s="665">
        <f>IFERROR(X498/H498,"0")+IFERROR(X499/H499,"0")+IFERROR(X500/H500,"0")+IFERROR(X501/H501,"0")</f>
        <v>100.20833333333333</v>
      </c>
      <c r="Y502" s="665">
        <f>IFERROR(Y498/H498,"0")+IFERROR(Y499/H499,"0")+IFERROR(Y500/H500,"0")+IFERROR(Y501/H501,"0")</f>
        <v>101</v>
      </c>
      <c r="Z502" s="665">
        <f>IFERROR(IF(Z498="",0,Z498),"0")+IFERROR(IF(Z499="",0,Z499),"0")+IFERROR(IF(Z500="",0,Z500),"0")+IFERROR(IF(Z501="",0,Z501),"0")</f>
        <v>1.1991400000000001</v>
      </c>
      <c r="AA502" s="666"/>
      <c r="AB502" s="666"/>
      <c r="AC502" s="666"/>
    </row>
    <row r="503" spans="1:68" x14ac:dyDescent="0.2">
      <c r="A503" s="671"/>
      <c r="B503" s="671"/>
      <c r="C503" s="671"/>
      <c r="D503" s="671"/>
      <c r="E503" s="671"/>
      <c r="F503" s="671"/>
      <c r="G503" s="671"/>
      <c r="H503" s="671"/>
      <c r="I503" s="671"/>
      <c r="J503" s="671"/>
      <c r="K503" s="671"/>
      <c r="L503" s="671"/>
      <c r="M503" s="671"/>
      <c r="N503" s="671"/>
      <c r="O503" s="672"/>
      <c r="P503" s="678" t="s">
        <v>87</v>
      </c>
      <c r="Q503" s="668"/>
      <c r="R503" s="668"/>
      <c r="S503" s="668"/>
      <c r="T503" s="668"/>
      <c r="U503" s="668"/>
      <c r="V503" s="669"/>
      <c r="W503" s="37" t="s">
        <v>68</v>
      </c>
      <c r="X503" s="665">
        <f>IFERROR(SUM(X498:X501),"0")</f>
        <v>528</v>
      </c>
      <c r="Y503" s="665">
        <f>IFERROR(SUM(Y498:Y501),"0")</f>
        <v>531.84</v>
      </c>
      <c r="Z503" s="37"/>
      <c r="AA503" s="666"/>
      <c r="AB503" s="666"/>
      <c r="AC503" s="666"/>
    </row>
    <row r="504" spans="1:68" ht="14.25" customHeight="1" x14ac:dyDescent="0.25">
      <c r="A504" s="680" t="s">
        <v>144</v>
      </c>
      <c r="B504" s="671"/>
      <c r="C504" s="671"/>
      <c r="D504" s="671"/>
      <c r="E504" s="671"/>
      <c r="F504" s="671"/>
      <c r="G504" s="671"/>
      <c r="H504" s="671"/>
      <c r="I504" s="671"/>
      <c r="J504" s="671"/>
      <c r="K504" s="671"/>
      <c r="L504" s="671"/>
      <c r="M504" s="671"/>
      <c r="N504" s="671"/>
      <c r="O504" s="671"/>
      <c r="P504" s="671"/>
      <c r="Q504" s="671"/>
      <c r="R504" s="671"/>
      <c r="S504" s="671"/>
      <c r="T504" s="671"/>
      <c r="U504" s="671"/>
      <c r="V504" s="671"/>
      <c r="W504" s="671"/>
      <c r="X504" s="671"/>
      <c r="Y504" s="671"/>
      <c r="Z504" s="671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6">
        <v>4680115883116</v>
      </c>
      <c r="E505" s="677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685" t="s">
        <v>780</v>
      </c>
      <c r="Q505" s="682"/>
      <c r="R505" s="682"/>
      <c r="S505" s="682"/>
      <c r="T505" s="683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6">
        <v>4680115883093</v>
      </c>
      <c r="E506" s="677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57" t="s">
        <v>784</v>
      </c>
      <c r="Q506" s="682"/>
      <c r="R506" s="682"/>
      <c r="S506" s="682"/>
      <c r="T506" s="683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6">
        <v>4680115883109</v>
      </c>
      <c r="E507" s="677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687" t="s">
        <v>788</v>
      </c>
      <c r="Q507" s="682"/>
      <c r="R507" s="682"/>
      <c r="S507" s="682"/>
      <c r="T507" s="683"/>
      <c r="U507" s="34"/>
      <c r="V507" s="34"/>
      <c r="W507" s="35" t="s">
        <v>68</v>
      </c>
      <c r="X507" s="663">
        <v>255</v>
      </c>
      <c r="Y507" s="664">
        <f t="shared" si="74"/>
        <v>258.72000000000003</v>
      </c>
      <c r="Z507" s="36">
        <f>IFERROR(IF(Y507=0,"",ROUNDUP(Y507/H507,0)*0.01196),"")</f>
        <v>0.58604000000000001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272.38636363636357</v>
      </c>
      <c r="BN507" s="64">
        <f t="shared" si="76"/>
        <v>276.36</v>
      </c>
      <c r="BO507" s="64">
        <f t="shared" si="77"/>
        <v>0.46437937062937062</v>
      </c>
      <c r="BP507" s="64">
        <f t="shared" si="78"/>
        <v>0.4711538461538462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76">
        <v>4680115886438</v>
      </c>
      <c r="E508" s="677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989" t="s">
        <v>792</v>
      </c>
      <c r="Q508" s="682"/>
      <c r="R508" s="682"/>
      <c r="S508" s="682"/>
      <c r="T508" s="683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76">
        <v>4680115882072</v>
      </c>
      <c r="E509" s="677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744" t="s">
        <v>795</v>
      </c>
      <c r="Q509" s="682"/>
      <c r="R509" s="682"/>
      <c r="S509" s="682"/>
      <c r="T509" s="683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76">
        <v>4680115882072</v>
      </c>
      <c r="E510" s="677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825" t="s">
        <v>797</v>
      </c>
      <c r="Q510" s="682"/>
      <c r="R510" s="682"/>
      <c r="S510" s="682"/>
      <c r="T510" s="683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76">
        <v>4680115882072</v>
      </c>
      <c r="E511" s="677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81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82"/>
      <c r="R511" s="682"/>
      <c r="S511" s="682"/>
      <c r="T511" s="683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76">
        <v>4680115882102</v>
      </c>
      <c r="E512" s="677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833" t="s">
        <v>802</v>
      </c>
      <c r="Q512" s="682"/>
      <c r="R512" s="682"/>
      <c r="S512" s="682"/>
      <c r="T512" s="683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76">
        <v>4680115882102</v>
      </c>
      <c r="E513" s="677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919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82"/>
      <c r="R513" s="682"/>
      <c r="S513" s="682"/>
      <c r="T513" s="683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76">
        <v>4680115882096</v>
      </c>
      <c r="E514" s="677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904" t="s">
        <v>807</v>
      </c>
      <c r="Q514" s="682"/>
      <c r="R514" s="682"/>
      <c r="S514" s="682"/>
      <c r="T514" s="683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76">
        <v>4680115882096</v>
      </c>
      <c r="E515" s="677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73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82"/>
      <c r="R515" s="682"/>
      <c r="S515" s="682"/>
      <c r="T515" s="683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76">
        <v>4680115882096</v>
      </c>
      <c r="E516" s="677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92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82"/>
      <c r="R516" s="682"/>
      <c r="S516" s="682"/>
      <c r="T516" s="683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0"/>
      <c r="B517" s="671"/>
      <c r="C517" s="671"/>
      <c r="D517" s="671"/>
      <c r="E517" s="671"/>
      <c r="F517" s="671"/>
      <c r="G517" s="671"/>
      <c r="H517" s="671"/>
      <c r="I517" s="671"/>
      <c r="J517" s="671"/>
      <c r="K517" s="671"/>
      <c r="L517" s="671"/>
      <c r="M517" s="671"/>
      <c r="N517" s="671"/>
      <c r="O517" s="672"/>
      <c r="P517" s="678" t="s">
        <v>87</v>
      </c>
      <c r="Q517" s="668"/>
      <c r="R517" s="668"/>
      <c r="S517" s="668"/>
      <c r="T517" s="668"/>
      <c r="U517" s="668"/>
      <c r="V517" s="669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48.29545454545454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49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0.58604000000000001</v>
      </c>
      <c r="AA517" s="666"/>
      <c r="AB517" s="666"/>
      <c r="AC517" s="666"/>
    </row>
    <row r="518" spans="1:68" x14ac:dyDescent="0.2">
      <c r="A518" s="671"/>
      <c r="B518" s="671"/>
      <c r="C518" s="671"/>
      <c r="D518" s="671"/>
      <c r="E518" s="671"/>
      <c r="F518" s="671"/>
      <c r="G518" s="671"/>
      <c r="H518" s="671"/>
      <c r="I518" s="671"/>
      <c r="J518" s="671"/>
      <c r="K518" s="671"/>
      <c r="L518" s="671"/>
      <c r="M518" s="671"/>
      <c r="N518" s="671"/>
      <c r="O518" s="672"/>
      <c r="P518" s="678" t="s">
        <v>87</v>
      </c>
      <c r="Q518" s="668"/>
      <c r="R518" s="668"/>
      <c r="S518" s="668"/>
      <c r="T518" s="668"/>
      <c r="U518" s="668"/>
      <c r="V518" s="669"/>
      <c r="W518" s="37" t="s">
        <v>68</v>
      </c>
      <c r="X518" s="665">
        <f>IFERROR(SUM(X505:X516),"0")</f>
        <v>255</v>
      </c>
      <c r="Y518" s="665">
        <f>IFERROR(SUM(Y505:Y516),"0")</f>
        <v>258.72000000000003</v>
      </c>
      <c r="Z518" s="37"/>
      <c r="AA518" s="666"/>
      <c r="AB518" s="666"/>
      <c r="AC518" s="666"/>
    </row>
    <row r="519" spans="1:68" ht="14.25" customHeight="1" x14ac:dyDescent="0.25">
      <c r="A519" s="680" t="s">
        <v>63</v>
      </c>
      <c r="B519" s="671"/>
      <c r="C519" s="671"/>
      <c r="D519" s="671"/>
      <c r="E519" s="671"/>
      <c r="F519" s="671"/>
      <c r="G519" s="671"/>
      <c r="H519" s="671"/>
      <c r="I519" s="671"/>
      <c r="J519" s="671"/>
      <c r="K519" s="671"/>
      <c r="L519" s="671"/>
      <c r="M519" s="671"/>
      <c r="N519" s="671"/>
      <c r="O519" s="671"/>
      <c r="P519" s="671"/>
      <c r="Q519" s="671"/>
      <c r="R519" s="671"/>
      <c r="S519" s="671"/>
      <c r="T519" s="671"/>
      <c r="U519" s="671"/>
      <c r="V519" s="671"/>
      <c r="W519" s="671"/>
      <c r="X519" s="671"/>
      <c r="Y519" s="671"/>
      <c r="Z519" s="671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76">
        <v>4607091383409</v>
      </c>
      <c r="E520" s="677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10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82"/>
      <c r="R520" s="682"/>
      <c r="S520" s="682"/>
      <c r="T520" s="683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76">
        <v>4607091383416</v>
      </c>
      <c r="E521" s="677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100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82"/>
      <c r="R521" s="682"/>
      <c r="S521" s="682"/>
      <c r="T521" s="683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76">
        <v>4680115883536</v>
      </c>
      <c r="E522" s="677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10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82"/>
      <c r="R522" s="682"/>
      <c r="S522" s="682"/>
      <c r="T522" s="683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0"/>
      <c r="B523" s="671"/>
      <c r="C523" s="671"/>
      <c r="D523" s="671"/>
      <c r="E523" s="671"/>
      <c r="F523" s="671"/>
      <c r="G523" s="671"/>
      <c r="H523" s="671"/>
      <c r="I523" s="671"/>
      <c r="J523" s="671"/>
      <c r="K523" s="671"/>
      <c r="L523" s="671"/>
      <c r="M523" s="671"/>
      <c r="N523" s="671"/>
      <c r="O523" s="672"/>
      <c r="P523" s="678" t="s">
        <v>87</v>
      </c>
      <c r="Q523" s="668"/>
      <c r="R523" s="668"/>
      <c r="S523" s="668"/>
      <c r="T523" s="668"/>
      <c r="U523" s="668"/>
      <c r="V523" s="669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1"/>
      <c r="B524" s="671"/>
      <c r="C524" s="671"/>
      <c r="D524" s="671"/>
      <c r="E524" s="671"/>
      <c r="F524" s="671"/>
      <c r="G524" s="671"/>
      <c r="H524" s="671"/>
      <c r="I524" s="671"/>
      <c r="J524" s="671"/>
      <c r="K524" s="671"/>
      <c r="L524" s="671"/>
      <c r="M524" s="671"/>
      <c r="N524" s="671"/>
      <c r="O524" s="672"/>
      <c r="P524" s="678" t="s">
        <v>87</v>
      </c>
      <c r="Q524" s="668"/>
      <c r="R524" s="668"/>
      <c r="S524" s="668"/>
      <c r="T524" s="668"/>
      <c r="U524" s="668"/>
      <c r="V524" s="669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80" t="s">
        <v>170</v>
      </c>
      <c r="B525" s="671"/>
      <c r="C525" s="671"/>
      <c r="D525" s="671"/>
      <c r="E525" s="671"/>
      <c r="F525" s="671"/>
      <c r="G525" s="671"/>
      <c r="H525" s="671"/>
      <c r="I525" s="671"/>
      <c r="J525" s="671"/>
      <c r="K525" s="671"/>
      <c r="L525" s="671"/>
      <c r="M525" s="671"/>
      <c r="N525" s="671"/>
      <c r="O525" s="671"/>
      <c r="P525" s="671"/>
      <c r="Q525" s="671"/>
      <c r="R525" s="671"/>
      <c r="S525" s="671"/>
      <c r="T525" s="671"/>
      <c r="U525" s="671"/>
      <c r="V525" s="671"/>
      <c r="W525" s="671"/>
      <c r="X525" s="671"/>
      <c r="Y525" s="671"/>
      <c r="Z525" s="671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76">
        <v>4680115885035</v>
      </c>
      <c r="E526" s="677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78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82"/>
      <c r="R526" s="682"/>
      <c r="S526" s="682"/>
      <c r="T526" s="683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76">
        <v>4680115885936</v>
      </c>
      <c r="E527" s="677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1022" t="s">
        <v>825</v>
      </c>
      <c r="Q527" s="682"/>
      <c r="R527" s="682"/>
      <c r="S527" s="682"/>
      <c r="T527" s="683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0"/>
      <c r="B528" s="671"/>
      <c r="C528" s="671"/>
      <c r="D528" s="671"/>
      <c r="E528" s="671"/>
      <c r="F528" s="671"/>
      <c r="G528" s="671"/>
      <c r="H528" s="671"/>
      <c r="I528" s="671"/>
      <c r="J528" s="671"/>
      <c r="K528" s="671"/>
      <c r="L528" s="671"/>
      <c r="M528" s="671"/>
      <c r="N528" s="671"/>
      <c r="O528" s="672"/>
      <c r="P528" s="678" t="s">
        <v>87</v>
      </c>
      <c r="Q528" s="668"/>
      <c r="R528" s="668"/>
      <c r="S528" s="668"/>
      <c r="T528" s="668"/>
      <c r="U528" s="668"/>
      <c r="V528" s="669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1"/>
      <c r="B529" s="671"/>
      <c r="C529" s="671"/>
      <c r="D529" s="671"/>
      <c r="E529" s="671"/>
      <c r="F529" s="671"/>
      <c r="G529" s="671"/>
      <c r="H529" s="671"/>
      <c r="I529" s="671"/>
      <c r="J529" s="671"/>
      <c r="K529" s="671"/>
      <c r="L529" s="671"/>
      <c r="M529" s="671"/>
      <c r="N529" s="671"/>
      <c r="O529" s="672"/>
      <c r="P529" s="678" t="s">
        <v>87</v>
      </c>
      <c r="Q529" s="668"/>
      <c r="R529" s="668"/>
      <c r="S529" s="668"/>
      <c r="T529" s="668"/>
      <c r="U529" s="668"/>
      <c r="V529" s="669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790" t="s">
        <v>826</v>
      </c>
      <c r="B530" s="791"/>
      <c r="C530" s="791"/>
      <c r="D530" s="791"/>
      <c r="E530" s="791"/>
      <c r="F530" s="791"/>
      <c r="G530" s="791"/>
      <c r="H530" s="791"/>
      <c r="I530" s="791"/>
      <c r="J530" s="791"/>
      <c r="K530" s="791"/>
      <c r="L530" s="791"/>
      <c r="M530" s="791"/>
      <c r="N530" s="791"/>
      <c r="O530" s="791"/>
      <c r="P530" s="791"/>
      <c r="Q530" s="791"/>
      <c r="R530" s="791"/>
      <c r="S530" s="791"/>
      <c r="T530" s="791"/>
      <c r="U530" s="791"/>
      <c r="V530" s="791"/>
      <c r="W530" s="791"/>
      <c r="X530" s="791"/>
      <c r="Y530" s="791"/>
      <c r="Z530" s="791"/>
      <c r="AA530" s="48"/>
      <c r="AB530" s="48"/>
      <c r="AC530" s="48"/>
    </row>
    <row r="531" spans="1:68" ht="16.5" customHeight="1" x14ac:dyDescent="0.25">
      <c r="A531" s="686" t="s">
        <v>826</v>
      </c>
      <c r="B531" s="671"/>
      <c r="C531" s="671"/>
      <c r="D531" s="671"/>
      <c r="E531" s="671"/>
      <c r="F531" s="671"/>
      <c r="G531" s="671"/>
      <c r="H531" s="671"/>
      <c r="I531" s="671"/>
      <c r="J531" s="671"/>
      <c r="K531" s="671"/>
      <c r="L531" s="671"/>
      <c r="M531" s="671"/>
      <c r="N531" s="671"/>
      <c r="O531" s="671"/>
      <c r="P531" s="671"/>
      <c r="Q531" s="671"/>
      <c r="R531" s="671"/>
      <c r="S531" s="671"/>
      <c r="T531" s="671"/>
      <c r="U531" s="671"/>
      <c r="V531" s="671"/>
      <c r="W531" s="671"/>
      <c r="X531" s="671"/>
      <c r="Y531" s="671"/>
      <c r="Z531" s="671"/>
      <c r="AA531" s="658"/>
      <c r="AB531" s="658"/>
      <c r="AC531" s="658"/>
    </row>
    <row r="532" spans="1:68" ht="14.25" customHeight="1" x14ac:dyDescent="0.25">
      <c r="A532" s="680" t="s">
        <v>97</v>
      </c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76">
        <v>4640242181011</v>
      </c>
      <c r="E533" s="677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58" t="s">
        <v>829</v>
      </c>
      <c r="Q533" s="682"/>
      <c r="R533" s="682"/>
      <c r="S533" s="682"/>
      <c r="T533" s="683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76">
        <v>4640242180441</v>
      </c>
      <c r="E534" s="677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688" t="s">
        <v>833</v>
      </c>
      <c r="Q534" s="682"/>
      <c r="R534" s="682"/>
      <c r="S534" s="682"/>
      <c r="T534" s="683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76">
        <v>4640242180564</v>
      </c>
      <c r="E535" s="677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827" t="s">
        <v>837</v>
      </c>
      <c r="Q535" s="682"/>
      <c r="R535" s="682"/>
      <c r="S535" s="682"/>
      <c r="T535" s="683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76">
        <v>4640242180922</v>
      </c>
      <c r="E536" s="677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844" t="s">
        <v>841</v>
      </c>
      <c r="Q536" s="682"/>
      <c r="R536" s="682"/>
      <c r="S536" s="682"/>
      <c r="T536" s="683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76">
        <v>4640242180038</v>
      </c>
      <c r="E537" s="677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988" t="s">
        <v>845</v>
      </c>
      <c r="Q537" s="682"/>
      <c r="R537" s="682"/>
      <c r="S537" s="682"/>
      <c r="T537" s="683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76">
        <v>4640242181172</v>
      </c>
      <c r="E538" s="677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48" t="s">
        <v>848</v>
      </c>
      <c r="Q538" s="682"/>
      <c r="R538" s="682"/>
      <c r="S538" s="682"/>
      <c r="T538" s="683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0"/>
      <c r="B539" s="671"/>
      <c r="C539" s="671"/>
      <c r="D539" s="671"/>
      <c r="E539" s="671"/>
      <c r="F539" s="671"/>
      <c r="G539" s="671"/>
      <c r="H539" s="671"/>
      <c r="I539" s="671"/>
      <c r="J539" s="671"/>
      <c r="K539" s="671"/>
      <c r="L539" s="671"/>
      <c r="M539" s="671"/>
      <c r="N539" s="671"/>
      <c r="O539" s="672"/>
      <c r="P539" s="678" t="s">
        <v>87</v>
      </c>
      <c r="Q539" s="668"/>
      <c r="R539" s="668"/>
      <c r="S539" s="668"/>
      <c r="T539" s="668"/>
      <c r="U539" s="668"/>
      <c r="V539" s="669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1"/>
      <c r="B540" s="671"/>
      <c r="C540" s="671"/>
      <c r="D540" s="671"/>
      <c r="E540" s="671"/>
      <c r="F540" s="671"/>
      <c r="G540" s="671"/>
      <c r="H540" s="671"/>
      <c r="I540" s="671"/>
      <c r="J540" s="671"/>
      <c r="K540" s="671"/>
      <c r="L540" s="671"/>
      <c r="M540" s="671"/>
      <c r="N540" s="671"/>
      <c r="O540" s="672"/>
      <c r="P540" s="678" t="s">
        <v>87</v>
      </c>
      <c r="Q540" s="668"/>
      <c r="R540" s="668"/>
      <c r="S540" s="668"/>
      <c r="T540" s="668"/>
      <c r="U540" s="668"/>
      <c r="V540" s="669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80" t="s">
        <v>133</v>
      </c>
      <c r="B541" s="671"/>
      <c r="C541" s="671"/>
      <c r="D541" s="671"/>
      <c r="E541" s="671"/>
      <c r="F541" s="671"/>
      <c r="G541" s="671"/>
      <c r="H541" s="671"/>
      <c r="I541" s="671"/>
      <c r="J541" s="671"/>
      <c r="K541" s="671"/>
      <c r="L541" s="671"/>
      <c r="M541" s="671"/>
      <c r="N541" s="671"/>
      <c r="O541" s="671"/>
      <c r="P541" s="671"/>
      <c r="Q541" s="671"/>
      <c r="R541" s="671"/>
      <c r="S541" s="671"/>
      <c r="T541" s="671"/>
      <c r="U541" s="671"/>
      <c r="V541" s="671"/>
      <c r="W541" s="671"/>
      <c r="X541" s="671"/>
      <c r="Y541" s="671"/>
      <c r="Z541" s="671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76">
        <v>4640242180519</v>
      </c>
      <c r="E542" s="677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985" t="s">
        <v>851</v>
      </c>
      <c r="Q542" s="682"/>
      <c r="R542" s="682"/>
      <c r="S542" s="682"/>
      <c r="T542" s="683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76">
        <v>4640242180519</v>
      </c>
      <c r="E543" s="677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923" t="s">
        <v>854</v>
      </c>
      <c r="Q543" s="682"/>
      <c r="R543" s="682"/>
      <c r="S543" s="682"/>
      <c r="T543" s="683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76">
        <v>4640242180526</v>
      </c>
      <c r="E544" s="677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912" t="s">
        <v>858</v>
      </c>
      <c r="Q544" s="682"/>
      <c r="R544" s="682"/>
      <c r="S544" s="682"/>
      <c r="T544" s="683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76">
        <v>4640242180090</v>
      </c>
      <c r="E545" s="677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5" t="s">
        <v>861</v>
      </c>
      <c r="Q545" s="682"/>
      <c r="R545" s="682"/>
      <c r="S545" s="682"/>
      <c r="T545" s="683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76">
        <v>4640242181363</v>
      </c>
      <c r="E546" s="677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970" t="s">
        <v>865</v>
      </c>
      <c r="Q546" s="682"/>
      <c r="R546" s="682"/>
      <c r="S546" s="682"/>
      <c r="T546" s="683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0"/>
      <c r="B547" s="671"/>
      <c r="C547" s="671"/>
      <c r="D547" s="671"/>
      <c r="E547" s="671"/>
      <c r="F547" s="671"/>
      <c r="G547" s="671"/>
      <c r="H547" s="671"/>
      <c r="I547" s="671"/>
      <c r="J547" s="671"/>
      <c r="K547" s="671"/>
      <c r="L547" s="671"/>
      <c r="M547" s="671"/>
      <c r="N547" s="671"/>
      <c r="O547" s="672"/>
      <c r="P547" s="678" t="s">
        <v>87</v>
      </c>
      <c r="Q547" s="668"/>
      <c r="R547" s="668"/>
      <c r="S547" s="668"/>
      <c r="T547" s="668"/>
      <c r="U547" s="668"/>
      <c r="V547" s="669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1"/>
      <c r="B548" s="671"/>
      <c r="C548" s="671"/>
      <c r="D548" s="671"/>
      <c r="E548" s="671"/>
      <c r="F548" s="671"/>
      <c r="G548" s="671"/>
      <c r="H548" s="671"/>
      <c r="I548" s="671"/>
      <c r="J548" s="671"/>
      <c r="K548" s="671"/>
      <c r="L548" s="671"/>
      <c r="M548" s="671"/>
      <c r="N548" s="671"/>
      <c r="O548" s="672"/>
      <c r="P548" s="678" t="s">
        <v>87</v>
      </c>
      <c r="Q548" s="668"/>
      <c r="R548" s="668"/>
      <c r="S548" s="668"/>
      <c r="T548" s="668"/>
      <c r="U548" s="668"/>
      <c r="V548" s="669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80" t="s">
        <v>144</v>
      </c>
      <c r="B549" s="671"/>
      <c r="C549" s="671"/>
      <c r="D549" s="671"/>
      <c r="E549" s="671"/>
      <c r="F549" s="671"/>
      <c r="G549" s="671"/>
      <c r="H549" s="671"/>
      <c r="I549" s="671"/>
      <c r="J549" s="671"/>
      <c r="K549" s="671"/>
      <c r="L549" s="671"/>
      <c r="M549" s="671"/>
      <c r="N549" s="671"/>
      <c r="O549" s="671"/>
      <c r="P549" s="671"/>
      <c r="Q549" s="671"/>
      <c r="R549" s="671"/>
      <c r="S549" s="671"/>
      <c r="T549" s="671"/>
      <c r="U549" s="671"/>
      <c r="V549" s="671"/>
      <c r="W549" s="671"/>
      <c r="X549" s="671"/>
      <c r="Y549" s="671"/>
      <c r="Z549" s="671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76">
        <v>4640242180816</v>
      </c>
      <c r="E550" s="677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1013" t="s">
        <v>868</v>
      </c>
      <c r="Q550" s="682"/>
      <c r="R550" s="682"/>
      <c r="S550" s="682"/>
      <c r="T550" s="683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76">
        <v>4640242180595</v>
      </c>
      <c r="E551" s="677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792" t="s">
        <v>872</v>
      </c>
      <c r="Q551" s="682"/>
      <c r="R551" s="682"/>
      <c r="S551" s="682"/>
      <c r="T551" s="683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76">
        <v>4640242181615</v>
      </c>
      <c r="E552" s="677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1047" t="s">
        <v>876</v>
      </c>
      <c r="Q552" s="682"/>
      <c r="R552" s="682"/>
      <c r="S552" s="682"/>
      <c r="T552" s="683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76">
        <v>4640242181639</v>
      </c>
      <c r="E553" s="677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994" t="s">
        <v>880</v>
      </c>
      <c r="Q553" s="682"/>
      <c r="R553" s="682"/>
      <c r="S553" s="682"/>
      <c r="T553" s="683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76">
        <v>4640242181622</v>
      </c>
      <c r="E554" s="677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814" t="s">
        <v>884</v>
      </c>
      <c r="Q554" s="682"/>
      <c r="R554" s="682"/>
      <c r="S554" s="682"/>
      <c r="T554" s="683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76">
        <v>4640242180908</v>
      </c>
      <c r="E555" s="677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782" t="s">
        <v>888</v>
      </c>
      <c r="Q555" s="682"/>
      <c r="R555" s="682"/>
      <c r="S555" s="682"/>
      <c r="T555" s="683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76">
        <v>4640242180489</v>
      </c>
      <c r="E556" s="677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968" t="s">
        <v>891</v>
      </c>
      <c r="Q556" s="682"/>
      <c r="R556" s="682"/>
      <c r="S556" s="682"/>
      <c r="T556" s="683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0"/>
      <c r="B557" s="671"/>
      <c r="C557" s="671"/>
      <c r="D557" s="671"/>
      <c r="E557" s="671"/>
      <c r="F557" s="671"/>
      <c r="G557" s="671"/>
      <c r="H557" s="671"/>
      <c r="I557" s="671"/>
      <c r="J557" s="671"/>
      <c r="K557" s="671"/>
      <c r="L557" s="671"/>
      <c r="M557" s="671"/>
      <c r="N557" s="671"/>
      <c r="O557" s="672"/>
      <c r="P557" s="678" t="s">
        <v>87</v>
      </c>
      <c r="Q557" s="668"/>
      <c r="R557" s="668"/>
      <c r="S557" s="668"/>
      <c r="T557" s="668"/>
      <c r="U557" s="668"/>
      <c r="V557" s="669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1"/>
      <c r="B558" s="671"/>
      <c r="C558" s="671"/>
      <c r="D558" s="671"/>
      <c r="E558" s="671"/>
      <c r="F558" s="671"/>
      <c r="G558" s="671"/>
      <c r="H558" s="671"/>
      <c r="I558" s="671"/>
      <c r="J558" s="671"/>
      <c r="K558" s="671"/>
      <c r="L558" s="671"/>
      <c r="M558" s="671"/>
      <c r="N558" s="671"/>
      <c r="O558" s="672"/>
      <c r="P558" s="678" t="s">
        <v>87</v>
      </c>
      <c r="Q558" s="668"/>
      <c r="R558" s="668"/>
      <c r="S558" s="668"/>
      <c r="T558" s="668"/>
      <c r="U558" s="668"/>
      <c r="V558" s="669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80" t="s">
        <v>63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76">
        <v>4640242180533</v>
      </c>
      <c r="E560" s="677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767" t="s">
        <v>894</v>
      </c>
      <c r="Q560" s="682"/>
      <c r="R560" s="682"/>
      <c r="S560" s="682"/>
      <c r="T560" s="683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76">
        <v>4640242180533</v>
      </c>
      <c r="E561" s="677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843" t="s">
        <v>894</v>
      </c>
      <c r="Q561" s="682"/>
      <c r="R561" s="682"/>
      <c r="S561" s="682"/>
      <c r="T561" s="683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76">
        <v>4640242180540</v>
      </c>
      <c r="E562" s="677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1031" t="s">
        <v>899</v>
      </c>
      <c r="Q562" s="682"/>
      <c r="R562" s="682"/>
      <c r="S562" s="682"/>
      <c r="T562" s="683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76">
        <v>4640242181233</v>
      </c>
      <c r="E563" s="677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1008" t="s">
        <v>903</v>
      </c>
      <c r="Q563" s="682"/>
      <c r="R563" s="682"/>
      <c r="S563" s="682"/>
      <c r="T563" s="683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76">
        <v>4640242181226</v>
      </c>
      <c r="E564" s="677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4" t="s">
        <v>906</v>
      </c>
      <c r="Q564" s="682"/>
      <c r="R564" s="682"/>
      <c r="S564" s="682"/>
      <c r="T564" s="683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0"/>
      <c r="B565" s="671"/>
      <c r="C565" s="671"/>
      <c r="D565" s="671"/>
      <c r="E565" s="671"/>
      <c r="F565" s="671"/>
      <c r="G565" s="671"/>
      <c r="H565" s="671"/>
      <c r="I565" s="671"/>
      <c r="J565" s="671"/>
      <c r="K565" s="671"/>
      <c r="L565" s="671"/>
      <c r="M565" s="671"/>
      <c r="N565" s="671"/>
      <c r="O565" s="672"/>
      <c r="P565" s="678" t="s">
        <v>87</v>
      </c>
      <c r="Q565" s="668"/>
      <c r="R565" s="668"/>
      <c r="S565" s="668"/>
      <c r="T565" s="668"/>
      <c r="U565" s="668"/>
      <c r="V565" s="669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1"/>
      <c r="B566" s="671"/>
      <c r="C566" s="671"/>
      <c r="D566" s="671"/>
      <c r="E566" s="671"/>
      <c r="F566" s="671"/>
      <c r="G566" s="671"/>
      <c r="H566" s="671"/>
      <c r="I566" s="671"/>
      <c r="J566" s="671"/>
      <c r="K566" s="671"/>
      <c r="L566" s="671"/>
      <c r="M566" s="671"/>
      <c r="N566" s="671"/>
      <c r="O566" s="672"/>
      <c r="P566" s="678" t="s">
        <v>87</v>
      </c>
      <c r="Q566" s="668"/>
      <c r="R566" s="668"/>
      <c r="S566" s="668"/>
      <c r="T566" s="668"/>
      <c r="U566" s="668"/>
      <c r="V566" s="669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80" t="s">
        <v>170</v>
      </c>
      <c r="B567" s="671"/>
      <c r="C567" s="671"/>
      <c r="D567" s="671"/>
      <c r="E567" s="671"/>
      <c r="F567" s="671"/>
      <c r="G567" s="671"/>
      <c r="H567" s="671"/>
      <c r="I567" s="671"/>
      <c r="J567" s="671"/>
      <c r="K567" s="671"/>
      <c r="L567" s="671"/>
      <c r="M567" s="671"/>
      <c r="N567" s="671"/>
      <c r="O567" s="671"/>
      <c r="P567" s="671"/>
      <c r="Q567" s="671"/>
      <c r="R567" s="671"/>
      <c r="S567" s="671"/>
      <c r="T567" s="671"/>
      <c r="U567" s="671"/>
      <c r="V567" s="671"/>
      <c r="W567" s="671"/>
      <c r="X567" s="671"/>
      <c r="Y567" s="671"/>
      <c r="Z567" s="671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76">
        <v>4640242180120</v>
      </c>
      <c r="E568" s="677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716" t="s">
        <v>909</v>
      </c>
      <c r="Q568" s="682"/>
      <c r="R568" s="682"/>
      <c r="S568" s="682"/>
      <c r="T568" s="683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76">
        <v>4640242180120</v>
      </c>
      <c r="E569" s="677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804" t="s">
        <v>912</v>
      </c>
      <c r="Q569" s="682"/>
      <c r="R569" s="682"/>
      <c r="S569" s="682"/>
      <c r="T569" s="683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76">
        <v>4640242180137</v>
      </c>
      <c r="E570" s="677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1002" t="s">
        <v>915</v>
      </c>
      <c r="Q570" s="682"/>
      <c r="R570" s="682"/>
      <c r="S570" s="682"/>
      <c r="T570" s="683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76">
        <v>4640242180137</v>
      </c>
      <c r="E571" s="677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986" t="s">
        <v>918</v>
      </c>
      <c r="Q571" s="682"/>
      <c r="R571" s="682"/>
      <c r="S571" s="682"/>
      <c r="T571" s="683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0"/>
      <c r="B572" s="671"/>
      <c r="C572" s="671"/>
      <c r="D572" s="671"/>
      <c r="E572" s="671"/>
      <c r="F572" s="671"/>
      <c r="G572" s="671"/>
      <c r="H572" s="671"/>
      <c r="I572" s="671"/>
      <c r="J572" s="671"/>
      <c r="K572" s="671"/>
      <c r="L572" s="671"/>
      <c r="M572" s="671"/>
      <c r="N572" s="671"/>
      <c r="O572" s="672"/>
      <c r="P572" s="678" t="s">
        <v>87</v>
      </c>
      <c r="Q572" s="668"/>
      <c r="R572" s="668"/>
      <c r="S572" s="668"/>
      <c r="T572" s="668"/>
      <c r="U572" s="668"/>
      <c r="V572" s="669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1"/>
      <c r="B573" s="671"/>
      <c r="C573" s="671"/>
      <c r="D573" s="671"/>
      <c r="E573" s="671"/>
      <c r="F573" s="671"/>
      <c r="G573" s="671"/>
      <c r="H573" s="671"/>
      <c r="I573" s="671"/>
      <c r="J573" s="671"/>
      <c r="K573" s="671"/>
      <c r="L573" s="671"/>
      <c r="M573" s="671"/>
      <c r="N573" s="671"/>
      <c r="O573" s="672"/>
      <c r="P573" s="678" t="s">
        <v>87</v>
      </c>
      <c r="Q573" s="668"/>
      <c r="R573" s="668"/>
      <c r="S573" s="668"/>
      <c r="T573" s="668"/>
      <c r="U573" s="668"/>
      <c r="V573" s="669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686" t="s">
        <v>919</v>
      </c>
      <c r="B574" s="671"/>
      <c r="C574" s="671"/>
      <c r="D574" s="671"/>
      <c r="E574" s="671"/>
      <c r="F574" s="671"/>
      <c r="G574" s="671"/>
      <c r="H574" s="671"/>
      <c r="I574" s="671"/>
      <c r="J574" s="671"/>
      <c r="K574" s="671"/>
      <c r="L574" s="671"/>
      <c r="M574" s="671"/>
      <c r="N574" s="671"/>
      <c r="O574" s="671"/>
      <c r="P574" s="671"/>
      <c r="Q574" s="671"/>
      <c r="R574" s="671"/>
      <c r="S574" s="671"/>
      <c r="T574" s="671"/>
      <c r="U574" s="671"/>
      <c r="V574" s="671"/>
      <c r="W574" s="671"/>
      <c r="X574" s="671"/>
      <c r="Y574" s="671"/>
      <c r="Z574" s="671"/>
      <c r="AA574" s="658"/>
      <c r="AB574" s="658"/>
      <c r="AC574" s="658"/>
    </row>
    <row r="575" spans="1:68" ht="14.25" customHeight="1" x14ac:dyDescent="0.25">
      <c r="A575" s="680" t="s">
        <v>97</v>
      </c>
      <c r="B575" s="671"/>
      <c r="C575" s="671"/>
      <c r="D575" s="671"/>
      <c r="E575" s="671"/>
      <c r="F575" s="671"/>
      <c r="G575" s="671"/>
      <c r="H575" s="671"/>
      <c r="I575" s="671"/>
      <c r="J575" s="671"/>
      <c r="K575" s="671"/>
      <c r="L575" s="671"/>
      <c r="M575" s="671"/>
      <c r="N575" s="671"/>
      <c r="O575" s="671"/>
      <c r="P575" s="671"/>
      <c r="Q575" s="671"/>
      <c r="R575" s="671"/>
      <c r="S575" s="671"/>
      <c r="T575" s="671"/>
      <c r="U575" s="671"/>
      <c r="V575" s="671"/>
      <c r="W575" s="671"/>
      <c r="X575" s="671"/>
      <c r="Y575" s="671"/>
      <c r="Z575" s="671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76">
        <v>4640242180045</v>
      </c>
      <c r="E576" s="677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759" t="s">
        <v>922</v>
      </c>
      <c r="Q576" s="682"/>
      <c r="R576" s="682"/>
      <c r="S576" s="682"/>
      <c r="T576" s="683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0"/>
      <c r="B577" s="671"/>
      <c r="C577" s="671"/>
      <c r="D577" s="671"/>
      <c r="E577" s="671"/>
      <c r="F577" s="671"/>
      <c r="G577" s="671"/>
      <c r="H577" s="671"/>
      <c r="I577" s="671"/>
      <c r="J577" s="671"/>
      <c r="K577" s="671"/>
      <c r="L577" s="671"/>
      <c r="M577" s="671"/>
      <c r="N577" s="671"/>
      <c r="O577" s="672"/>
      <c r="P577" s="678" t="s">
        <v>87</v>
      </c>
      <c r="Q577" s="668"/>
      <c r="R577" s="668"/>
      <c r="S577" s="668"/>
      <c r="T577" s="668"/>
      <c r="U577" s="668"/>
      <c r="V577" s="669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1"/>
      <c r="B578" s="671"/>
      <c r="C578" s="671"/>
      <c r="D578" s="671"/>
      <c r="E578" s="671"/>
      <c r="F578" s="671"/>
      <c r="G578" s="671"/>
      <c r="H578" s="671"/>
      <c r="I578" s="671"/>
      <c r="J578" s="671"/>
      <c r="K578" s="671"/>
      <c r="L578" s="671"/>
      <c r="M578" s="671"/>
      <c r="N578" s="671"/>
      <c r="O578" s="672"/>
      <c r="P578" s="678" t="s">
        <v>87</v>
      </c>
      <c r="Q578" s="668"/>
      <c r="R578" s="668"/>
      <c r="S578" s="668"/>
      <c r="T578" s="668"/>
      <c r="U578" s="668"/>
      <c r="V578" s="669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80" t="s">
        <v>133</v>
      </c>
      <c r="B579" s="671"/>
      <c r="C579" s="671"/>
      <c r="D579" s="671"/>
      <c r="E579" s="671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  <c r="T579" s="671"/>
      <c r="U579" s="671"/>
      <c r="V579" s="671"/>
      <c r="W579" s="671"/>
      <c r="X579" s="671"/>
      <c r="Y579" s="671"/>
      <c r="Z579" s="671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76">
        <v>4640242180090</v>
      </c>
      <c r="E580" s="677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780" t="s">
        <v>926</v>
      </c>
      <c r="Q580" s="682"/>
      <c r="R580" s="682"/>
      <c r="S580" s="682"/>
      <c r="T580" s="683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0"/>
      <c r="B581" s="671"/>
      <c r="C581" s="671"/>
      <c r="D581" s="671"/>
      <c r="E581" s="671"/>
      <c r="F581" s="671"/>
      <c r="G581" s="671"/>
      <c r="H581" s="671"/>
      <c r="I581" s="671"/>
      <c r="J581" s="671"/>
      <c r="K581" s="671"/>
      <c r="L581" s="671"/>
      <c r="M581" s="671"/>
      <c r="N581" s="671"/>
      <c r="O581" s="672"/>
      <c r="P581" s="678" t="s">
        <v>87</v>
      </c>
      <c r="Q581" s="668"/>
      <c r="R581" s="668"/>
      <c r="S581" s="668"/>
      <c r="T581" s="668"/>
      <c r="U581" s="668"/>
      <c r="V581" s="669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1"/>
      <c r="B582" s="671"/>
      <c r="C582" s="671"/>
      <c r="D582" s="671"/>
      <c r="E582" s="671"/>
      <c r="F582" s="671"/>
      <c r="G582" s="671"/>
      <c r="H582" s="671"/>
      <c r="I582" s="671"/>
      <c r="J582" s="671"/>
      <c r="K582" s="671"/>
      <c r="L582" s="671"/>
      <c r="M582" s="671"/>
      <c r="N582" s="671"/>
      <c r="O582" s="672"/>
      <c r="P582" s="678" t="s">
        <v>87</v>
      </c>
      <c r="Q582" s="668"/>
      <c r="R582" s="668"/>
      <c r="S582" s="668"/>
      <c r="T582" s="668"/>
      <c r="U582" s="668"/>
      <c r="V582" s="669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80" t="s">
        <v>144</v>
      </c>
      <c r="B583" s="671"/>
      <c r="C583" s="671"/>
      <c r="D583" s="671"/>
      <c r="E583" s="671"/>
      <c r="F583" s="671"/>
      <c r="G583" s="671"/>
      <c r="H583" s="671"/>
      <c r="I583" s="671"/>
      <c r="J583" s="671"/>
      <c r="K583" s="671"/>
      <c r="L583" s="671"/>
      <c r="M583" s="671"/>
      <c r="N583" s="671"/>
      <c r="O583" s="671"/>
      <c r="P583" s="671"/>
      <c r="Q583" s="671"/>
      <c r="R583" s="671"/>
      <c r="S583" s="671"/>
      <c r="T583" s="671"/>
      <c r="U583" s="671"/>
      <c r="V583" s="671"/>
      <c r="W583" s="671"/>
      <c r="X583" s="671"/>
      <c r="Y583" s="671"/>
      <c r="Z583" s="671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76">
        <v>4640242180076</v>
      </c>
      <c r="E584" s="677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965" t="s">
        <v>930</v>
      </c>
      <c r="Q584" s="682"/>
      <c r="R584" s="682"/>
      <c r="S584" s="682"/>
      <c r="T584" s="683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0"/>
      <c r="B585" s="671"/>
      <c r="C585" s="671"/>
      <c r="D585" s="671"/>
      <c r="E585" s="671"/>
      <c r="F585" s="671"/>
      <c r="G585" s="671"/>
      <c r="H585" s="671"/>
      <c r="I585" s="671"/>
      <c r="J585" s="671"/>
      <c r="K585" s="671"/>
      <c r="L585" s="671"/>
      <c r="M585" s="671"/>
      <c r="N585" s="671"/>
      <c r="O585" s="672"/>
      <c r="P585" s="678" t="s">
        <v>87</v>
      </c>
      <c r="Q585" s="668"/>
      <c r="R585" s="668"/>
      <c r="S585" s="668"/>
      <c r="T585" s="668"/>
      <c r="U585" s="668"/>
      <c r="V585" s="669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1"/>
      <c r="B586" s="671"/>
      <c r="C586" s="671"/>
      <c r="D586" s="671"/>
      <c r="E586" s="671"/>
      <c r="F586" s="671"/>
      <c r="G586" s="671"/>
      <c r="H586" s="671"/>
      <c r="I586" s="671"/>
      <c r="J586" s="671"/>
      <c r="K586" s="671"/>
      <c r="L586" s="671"/>
      <c r="M586" s="671"/>
      <c r="N586" s="671"/>
      <c r="O586" s="672"/>
      <c r="P586" s="678" t="s">
        <v>87</v>
      </c>
      <c r="Q586" s="668"/>
      <c r="R586" s="668"/>
      <c r="S586" s="668"/>
      <c r="T586" s="668"/>
      <c r="U586" s="668"/>
      <c r="V586" s="669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80" t="s">
        <v>63</v>
      </c>
      <c r="B587" s="671"/>
      <c r="C587" s="671"/>
      <c r="D587" s="671"/>
      <c r="E587" s="671"/>
      <c r="F587" s="671"/>
      <c r="G587" s="671"/>
      <c r="H587" s="671"/>
      <c r="I587" s="671"/>
      <c r="J587" s="671"/>
      <c r="K587" s="671"/>
      <c r="L587" s="671"/>
      <c r="M587" s="671"/>
      <c r="N587" s="671"/>
      <c r="O587" s="671"/>
      <c r="P587" s="671"/>
      <c r="Q587" s="671"/>
      <c r="R587" s="671"/>
      <c r="S587" s="671"/>
      <c r="T587" s="671"/>
      <c r="U587" s="671"/>
      <c r="V587" s="671"/>
      <c r="W587" s="671"/>
      <c r="X587" s="671"/>
      <c r="Y587" s="671"/>
      <c r="Z587" s="671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76">
        <v>4640242180113</v>
      </c>
      <c r="E588" s="677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746" t="s">
        <v>934</v>
      </c>
      <c r="Q588" s="682"/>
      <c r="R588" s="682"/>
      <c r="S588" s="682"/>
      <c r="T588" s="683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0"/>
      <c r="B589" s="671"/>
      <c r="C589" s="671"/>
      <c r="D589" s="671"/>
      <c r="E589" s="671"/>
      <c r="F589" s="671"/>
      <c r="G589" s="671"/>
      <c r="H589" s="671"/>
      <c r="I589" s="671"/>
      <c r="J589" s="671"/>
      <c r="K589" s="671"/>
      <c r="L589" s="671"/>
      <c r="M589" s="671"/>
      <c r="N589" s="671"/>
      <c r="O589" s="672"/>
      <c r="P589" s="678" t="s">
        <v>87</v>
      </c>
      <c r="Q589" s="668"/>
      <c r="R589" s="668"/>
      <c r="S589" s="668"/>
      <c r="T589" s="668"/>
      <c r="U589" s="668"/>
      <c r="V589" s="669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1"/>
      <c r="B590" s="671"/>
      <c r="C590" s="671"/>
      <c r="D590" s="671"/>
      <c r="E590" s="671"/>
      <c r="F590" s="671"/>
      <c r="G590" s="671"/>
      <c r="H590" s="671"/>
      <c r="I590" s="671"/>
      <c r="J590" s="671"/>
      <c r="K590" s="671"/>
      <c r="L590" s="671"/>
      <c r="M590" s="671"/>
      <c r="N590" s="671"/>
      <c r="O590" s="672"/>
      <c r="P590" s="678" t="s">
        <v>87</v>
      </c>
      <c r="Q590" s="668"/>
      <c r="R590" s="668"/>
      <c r="S590" s="668"/>
      <c r="T590" s="668"/>
      <c r="U590" s="668"/>
      <c r="V590" s="669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82"/>
      <c r="B591" s="671"/>
      <c r="C591" s="671"/>
      <c r="D591" s="671"/>
      <c r="E591" s="671"/>
      <c r="F591" s="671"/>
      <c r="G591" s="671"/>
      <c r="H591" s="671"/>
      <c r="I591" s="671"/>
      <c r="J591" s="671"/>
      <c r="K591" s="671"/>
      <c r="L591" s="671"/>
      <c r="M591" s="671"/>
      <c r="N591" s="671"/>
      <c r="O591" s="883"/>
      <c r="P591" s="673" t="s">
        <v>936</v>
      </c>
      <c r="Q591" s="674"/>
      <c r="R591" s="674"/>
      <c r="S591" s="674"/>
      <c r="T591" s="674"/>
      <c r="U591" s="674"/>
      <c r="V591" s="675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6332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6443.26</v>
      </c>
      <c r="Z591" s="37"/>
      <c r="AA591" s="666"/>
      <c r="AB591" s="666"/>
      <c r="AC591" s="666"/>
    </row>
    <row r="592" spans="1:68" x14ac:dyDescent="0.2">
      <c r="A592" s="671"/>
      <c r="B592" s="671"/>
      <c r="C592" s="671"/>
      <c r="D592" s="671"/>
      <c r="E592" s="671"/>
      <c r="F592" s="671"/>
      <c r="G592" s="671"/>
      <c r="H592" s="671"/>
      <c r="I592" s="671"/>
      <c r="J592" s="671"/>
      <c r="K592" s="671"/>
      <c r="L592" s="671"/>
      <c r="M592" s="671"/>
      <c r="N592" s="671"/>
      <c r="O592" s="883"/>
      <c r="P592" s="673" t="s">
        <v>937</v>
      </c>
      <c r="Q592" s="674"/>
      <c r="R592" s="674"/>
      <c r="S592" s="674"/>
      <c r="T592" s="674"/>
      <c r="U592" s="674"/>
      <c r="V592" s="675"/>
      <c r="W592" s="37" t="s">
        <v>68</v>
      </c>
      <c r="X592" s="665">
        <f>IFERROR(SUM(BM22:BM588),"0")</f>
        <v>6717.7108755584259</v>
      </c>
      <c r="Y592" s="665">
        <f>IFERROR(SUM(BN22:BN588),"0")</f>
        <v>6837.2129999999997</v>
      </c>
      <c r="Z592" s="37"/>
      <c r="AA592" s="666"/>
      <c r="AB592" s="666"/>
      <c r="AC592" s="666"/>
    </row>
    <row r="593" spans="1:32" x14ac:dyDescent="0.2">
      <c r="A593" s="671"/>
      <c r="B593" s="671"/>
      <c r="C593" s="671"/>
      <c r="D593" s="671"/>
      <c r="E593" s="671"/>
      <c r="F593" s="671"/>
      <c r="G593" s="671"/>
      <c r="H593" s="671"/>
      <c r="I593" s="671"/>
      <c r="J593" s="671"/>
      <c r="K593" s="671"/>
      <c r="L593" s="671"/>
      <c r="M593" s="671"/>
      <c r="N593" s="671"/>
      <c r="O593" s="883"/>
      <c r="P593" s="673" t="s">
        <v>938</v>
      </c>
      <c r="Q593" s="674"/>
      <c r="R593" s="674"/>
      <c r="S593" s="674"/>
      <c r="T593" s="674"/>
      <c r="U593" s="674"/>
      <c r="V593" s="675"/>
      <c r="W593" s="37" t="s">
        <v>939</v>
      </c>
      <c r="X593" s="38">
        <f>ROUNDUP(SUM(BO22:BO588),0)</f>
        <v>12</v>
      </c>
      <c r="Y593" s="38">
        <f>ROUNDUP(SUM(BP22:BP588),0)</f>
        <v>12</v>
      </c>
      <c r="Z593" s="37"/>
      <c r="AA593" s="666"/>
      <c r="AB593" s="666"/>
      <c r="AC593" s="666"/>
    </row>
    <row r="594" spans="1:32" x14ac:dyDescent="0.2">
      <c r="A594" s="671"/>
      <c r="B594" s="671"/>
      <c r="C594" s="671"/>
      <c r="D594" s="671"/>
      <c r="E594" s="671"/>
      <c r="F594" s="671"/>
      <c r="G594" s="671"/>
      <c r="H594" s="671"/>
      <c r="I594" s="671"/>
      <c r="J594" s="671"/>
      <c r="K594" s="671"/>
      <c r="L594" s="671"/>
      <c r="M594" s="671"/>
      <c r="N594" s="671"/>
      <c r="O594" s="883"/>
      <c r="P594" s="673" t="s">
        <v>940</v>
      </c>
      <c r="Q594" s="674"/>
      <c r="R594" s="674"/>
      <c r="S594" s="674"/>
      <c r="T594" s="674"/>
      <c r="U594" s="674"/>
      <c r="V594" s="675"/>
      <c r="W594" s="37" t="s">
        <v>68</v>
      </c>
      <c r="X594" s="665">
        <f>GrossWeightTotal+PalletQtyTotal*25</f>
        <v>7017.7108755584259</v>
      </c>
      <c r="Y594" s="665">
        <f>GrossWeightTotalR+PalletQtyTotalR*25</f>
        <v>7137.2129999999997</v>
      </c>
      <c r="Z594" s="37"/>
      <c r="AA594" s="666"/>
      <c r="AB594" s="666"/>
      <c r="AC594" s="666"/>
    </row>
    <row r="595" spans="1:32" x14ac:dyDescent="0.2">
      <c r="A595" s="671"/>
      <c r="B595" s="671"/>
      <c r="C595" s="671"/>
      <c r="D595" s="671"/>
      <c r="E595" s="671"/>
      <c r="F595" s="671"/>
      <c r="G595" s="671"/>
      <c r="H595" s="671"/>
      <c r="I595" s="671"/>
      <c r="J595" s="671"/>
      <c r="K595" s="671"/>
      <c r="L595" s="671"/>
      <c r="M595" s="671"/>
      <c r="N595" s="671"/>
      <c r="O595" s="883"/>
      <c r="P595" s="673" t="s">
        <v>941</v>
      </c>
      <c r="Q595" s="674"/>
      <c r="R595" s="674"/>
      <c r="S595" s="674"/>
      <c r="T595" s="674"/>
      <c r="U595" s="674"/>
      <c r="V595" s="675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1124.4569958195209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1147</v>
      </c>
      <c r="Z595" s="37"/>
      <c r="AA595" s="666"/>
      <c r="AB595" s="666"/>
      <c r="AC595" s="666"/>
    </row>
    <row r="596" spans="1:32" ht="14.25" customHeight="1" x14ac:dyDescent="0.2">
      <c r="A596" s="671"/>
      <c r="B596" s="671"/>
      <c r="C596" s="671"/>
      <c r="D596" s="671"/>
      <c r="E596" s="671"/>
      <c r="F596" s="671"/>
      <c r="G596" s="671"/>
      <c r="H596" s="671"/>
      <c r="I596" s="671"/>
      <c r="J596" s="671"/>
      <c r="K596" s="671"/>
      <c r="L596" s="671"/>
      <c r="M596" s="671"/>
      <c r="N596" s="671"/>
      <c r="O596" s="883"/>
      <c r="P596" s="673" t="s">
        <v>942</v>
      </c>
      <c r="Q596" s="674"/>
      <c r="R596" s="674"/>
      <c r="S596" s="674"/>
      <c r="T596" s="674"/>
      <c r="U596" s="674"/>
      <c r="V596" s="675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13.58418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9" t="s">
        <v>95</v>
      </c>
      <c r="D598" s="735"/>
      <c r="E598" s="735"/>
      <c r="F598" s="735"/>
      <c r="G598" s="735"/>
      <c r="H598" s="726"/>
      <c r="I598" s="699" t="s">
        <v>283</v>
      </c>
      <c r="J598" s="735"/>
      <c r="K598" s="735"/>
      <c r="L598" s="735"/>
      <c r="M598" s="735"/>
      <c r="N598" s="735"/>
      <c r="O598" s="735"/>
      <c r="P598" s="735"/>
      <c r="Q598" s="735"/>
      <c r="R598" s="735"/>
      <c r="S598" s="735"/>
      <c r="T598" s="735"/>
      <c r="U598" s="735"/>
      <c r="V598" s="726"/>
      <c r="W598" s="699" t="s">
        <v>574</v>
      </c>
      <c r="X598" s="726"/>
      <c r="Y598" s="699" t="s">
        <v>652</v>
      </c>
      <c r="Z598" s="735"/>
      <c r="AA598" s="735"/>
      <c r="AB598" s="726"/>
      <c r="AC598" s="660" t="s">
        <v>727</v>
      </c>
      <c r="AD598" s="699" t="s">
        <v>826</v>
      </c>
      <c r="AE598" s="726"/>
      <c r="AF598" s="661"/>
    </row>
    <row r="599" spans="1:32" ht="14.25" customHeight="1" thickTop="1" x14ac:dyDescent="0.2">
      <c r="A599" s="916" t="s">
        <v>945</v>
      </c>
      <c r="B599" s="699" t="s">
        <v>62</v>
      </c>
      <c r="C599" s="699" t="s">
        <v>96</v>
      </c>
      <c r="D599" s="699" t="s">
        <v>115</v>
      </c>
      <c r="E599" s="699" t="s">
        <v>178</v>
      </c>
      <c r="F599" s="699" t="s">
        <v>209</v>
      </c>
      <c r="G599" s="699" t="s">
        <v>254</v>
      </c>
      <c r="H599" s="699" t="s">
        <v>95</v>
      </c>
      <c r="I599" s="699" t="s">
        <v>284</v>
      </c>
      <c r="J599" s="699" t="s">
        <v>319</v>
      </c>
      <c r="K599" s="699" t="s">
        <v>380</v>
      </c>
      <c r="L599" s="699" t="s">
        <v>415</v>
      </c>
      <c r="M599" s="699" t="s">
        <v>433</v>
      </c>
      <c r="N599" s="661"/>
      <c r="O599" s="699" t="s">
        <v>437</v>
      </c>
      <c r="P599" s="699" t="s">
        <v>446</v>
      </c>
      <c r="Q599" s="699" t="s">
        <v>460</v>
      </c>
      <c r="R599" s="699" t="s">
        <v>470</v>
      </c>
      <c r="S599" s="699" t="s">
        <v>474</v>
      </c>
      <c r="T599" s="699" t="s">
        <v>482</v>
      </c>
      <c r="U599" s="699" t="s">
        <v>487</v>
      </c>
      <c r="V599" s="699" t="s">
        <v>561</v>
      </c>
      <c r="W599" s="699" t="s">
        <v>575</v>
      </c>
      <c r="X599" s="699" t="s">
        <v>616</v>
      </c>
      <c r="Y599" s="699" t="s">
        <v>653</v>
      </c>
      <c r="Z599" s="699" t="s">
        <v>692</v>
      </c>
      <c r="AA599" s="699" t="s">
        <v>712</v>
      </c>
      <c r="AB599" s="699" t="s">
        <v>720</v>
      </c>
      <c r="AC599" s="699" t="s">
        <v>727</v>
      </c>
      <c r="AD599" s="699" t="s">
        <v>826</v>
      </c>
      <c r="AE599" s="699" t="s">
        <v>919</v>
      </c>
      <c r="AF599" s="661"/>
    </row>
    <row r="600" spans="1:32" ht="13.5" customHeight="1" thickBot="1" x14ac:dyDescent="0.25">
      <c r="A600" s="917"/>
      <c r="B600" s="700"/>
      <c r="C600" s="700"/>
      <c r="D600" s="700"/>
      <c r="E600" s="700"/>
      <c r="F600" s="700"/>
      <c r="G600" s="700"/>
      <c r="H600" s="700"/>
      <c r="I600" s="700"/>
      <c r="J600" s="700"/>
      <c r="K600" s="700"/>
      <c r="L600" s="700"/>
      <c r="M600" s="700"/>
      <c r="N600" s="661"/>
      <c r="O600" s="700"/>
      <c r="P600" s="700"/>
      <c r="Q600" s="700"/>
      <c r="R600" s="700"/>
      <c r="S600" s="700"/>
      <c r="T600" s="700"/>
      <c r="U600" s="700"/>
      <c r="V600" s="700"/>
      <c r="W600" s="700"/>
      <c r="X600" s="700"/>
      <c r="Y600" s="700"/>
      <c r="Z600" s="700"/>
      <c r="AA600" s="700"/>
      <c r="AB600" s="700"/>
      <c r="AC600" s="700"/>
      <c r="AD600" s="700"/>
      <c r="AE600" s="700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140.4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66.400000000000006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297.60000000000002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938.09999999999991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140.70000000000002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1099.8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15.120000000000001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115.19999999999999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223.50000000000003</v>
      </c>
      <c r="V601" s="46">
        <f>IFERROR(Y363*1,"0")+IFERROR(Y367*1,"0")+IFERROR(Y368*1,"0")+IFERROR(Y369*1,"0")</f>
        <v>3.6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900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873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33.6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2.4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1593.8400000000001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492:T492"/>
    <mergeCell ref="P286:T286"/>
    <mergeCell ref="A402:Z402"/>
    <mergeCell ref="D158:E158"/>
    <mergeCell ref="P131:T131"/>
    <mergeCell ref="D108:E108"/>
    <mergeCell ref="D375:E375"/>
    <mergeCell ref="P258:T258"/>
    <mergeCell ref="D369:E369"/>
    <mergeCell ref="A353:O354"/>
    <mergeCell ref="P494:T494"/>
    <mergeCell ref="P546:T546"/>
    <mergeCell ref="P350:T350"/>
    <mergeCell ref="A168:Z168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2025-04-11T09:15:40Z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